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mesholmquist/GitHub/COMPASS-Flooding-Stats/data/elevation/source_studies/WaquoitBay_NERR/original/"/>
    </mc:Choice>
  </mc:AlternateContent>
  <xr:revisionPtr revIDLastSave="0" documentId="8_{B23D228F-E7A5-4743-99C1-9BA4C8FEAF7B}" xr6:coauthVersionLast="47" xr6:coauthVersionMax="47" xr10:uidLastSave="{00000000-0000-0000-0000-000000000000}"/>
  <bookViews>
    <workbookView xWindow="36440" yWindow="1920" windowWidth="24560" windowHeight="18740" tabRatio="429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6" i="1"/>
  <c r="E27" i="1"/>
  <c r="E28" i="1"/>
  <c r="E29" i="1"/>
  <c r="E30" i="1"/>
  <c r="E31" i="1"/>
  <c r="E32" i="1"/>
  <c r="E33" i="1"/>
  <c r="E34" i="1"/>
  <c r="E35" i="1"/>
  <c r="E36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  <c r="E3" i="1"/>
  <c r="E4" i="1"/>
  <c r="E5" i="1"/>
  <c r="E6" i="1"/>
  <c r="E7" i="1"/>
  <c r="E8" i="1"/>
  <c r="E9" i="1"/>
  <c r="E10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24" i="1"/>
  <c r="AV118" i="1"/>
  <c r="V118" i="1"/>
  <c r="P118" i="1"/>
  <c r="N118" i="1"/>
  <c r="M118" i="1"/>
  <c r="AX116" i="1"/>
  <c r="AV116" i="1"/>
  <c r="V116" i="1"/>
  <c r="N116" i="1"/>
  <c r="M116" i="1"/>
  <c r="L116" i="1" s="1"/>
  <c r="L114" i="1"/>
  <c r="L105" i="1"/>
  <c r="BA103" i="1"/>
  <c r="AX103" i="1"/>
  <c r="AU103" i="1"/>
  <c r="AR103" i="1"/>
  <c r="AK103" i="1"/>
  <c r="AD103" i="1"/>
  <c r="AB103" i="1"/>
  <c r="V103" i="1"/>
  <c r="S103" i="1"/>
  <c r="N103" i="1"/>
  <c r="M103" i="1"/>
  <c r="L103" i="1" s="1"/>
  <c r="L87" i="1"/>
  <c r="L88" i="1"/>
  <c r="AV86" i="1"/>
  <c r="AQ86" i="1"/>
  <c r="V86" i="1"/>
  <c r="O86" i="1"/>
  <c r="N86" i="1"/>
  <c r="M86" i="1"/>
  <c r="AV20" i="1"/>
  <c r="AD20" i="1"/>
  <c r="N20" i="1"/>
  <c r="M20" i="1"/>
  <c r="L20" i="1" s="1"/>
  <c r="L3" i="1"/>
  <c r="AV55" i="1"/>
  <c r="AP55" i="1"/>
  <c r="O55" i="1"/>
  <c r="N55" i="1"/>
  <c r="M55" i="1"/>
  <c r="L55" i="1" s="1"/>
  <c r="BA61" i="1"/>
  <c r="AX61" i="1"/>
  <c r="AV61" i="1"/>
  <c r="V61" i="1"/>
  <c r="O61" i="1"/>
  <c r="N61" i="1"/>
  <c r="M61" i="1"/>
  <c r="L61" i="1" s="1"/>
  <c r="L77" i="1"/>
  <c r="L78" i="1"/>
  <c r="L73" i="1"/>
  <c r="L70" i="1"/>
  <c r="L71" i="1"/>
  <c r="L72" i="1"/>
  <c r="L74" i="1"/>
  <c r="L75" i="1"/>
  <c r="L76" i="1"/>
  <c r="L79" i="1"/>
  <c r="L80" i="1"/>
  <c r="L81" i="1"/>
  <c r="L82" i="1"/>
  <c r="L83" i="1"/>
  <c r="L84" i="1"/>
  <c r="L85" i="1"/>
  <c r="L89" i="1"/>
  <c r="L91" i="1"/>
  <c r="L90" i="1"/>
  <c r="L92" i="1"/>
  <c r="L93" i="1"/>
  <c r="L94" i="1"/>
  <c r="L95" i="1"/>
  <c r="L96" i="1"/>
  <c r="L97" i="1"/>
  <c r="L98" i="1"/>
  <c r="L99" i="1"/>
  <c r="L100" i="1"/>
  <c r="L101" i="1"/>
  <c r="L102" i="1"/>
  <c r="L104" i="1"/>
  <c r="L106" i="1"/>
  <c r="L107" i="1"/>
  <c r="L108" i="1"/>
  <c r="L109" i="1"/>
  <c r="L110" i="1"/>
  <c r="L111" i="1"/>
  <c r="L112" i="1"/>
  <c r="L113" i="1"/>
  <c r="L115" i="1"/>
  <c r="L117" i="1"/>
  <c r="L118" i="1"/>
  <c r="L119" i="1"/>
  <c r="L120" i="1"/>
  <c r="L121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11" i="1"/>
  <c r="L12" i="1"/>
  <c r="L13" i="1"/>
  <c r="L14" i="1"/>
  <c r="L15" i="1"/>
  <c r="L16" i="1"/>
  <c r="L17" i="1"/>
  <c r="L18" i="1"/>
  <c r="L19" i="1"/>
  <c r="L21" i="1"/>
  <c r="L22" i="1"/>
  <c r="L23" i="1"/>
  <c r="L2" i="1"/>
  <c r="L4" i="1"/>
  <c r="L5" i="1"/>
  <c r="L6" i="1"/>
  <c r="L7" i="1"/>
  <c r="L8" i="1"/>
  <c r="L9" i="1"/>
  <c r="L10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6" i="1"/>
  <c r="L57" i="1"/>
  <c r="L58" i="1"/>
  <c r="L59" i="1"/>
  <c r="L60" i="1"/>
  <c r="L62" i="1"/>
  <c r="L63" i="1"/>
  <c r="L64" i="1"/>
  <c r="L65" i="1"/>
  <c r="L66" i="1"/>
  <c r="L67" i="1"/>
  <c r="L68" i="1"/>
  <c r="L69" i="1"/>
  <c r="F10" i="2"/>
  <c r="G10" i="2" s="1"/>
  <c r="F6" i="2"/>
  <c r="G6" i="2" s="1"/>
  <c r="F5" i="2"/>
  <c r="G5" i="2" s="1"/>
  <c r="L86" i="1" l="1"/>
  <c r="G7" i="2"/>
  <c r="F7" i="2"/>
  <c r="F11" i="2"/>
  <c r="F12" i="2" l="1"/>
  <c r="G11" i="2"/>
  <c r="G1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jmora</author>
  </authors>
  <commentList>
    <comment ref="BQ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jmora:</t>
        </r>
        <r>
          <rPr>
            <sz val="8"/>
            <color indexed="81"/>
            <rFont val="Tahoma"/>
            <family val="2"/>
          </rPr>
          <t xml:space="preserve">
D.s. - within 0.01m2 subsample</t>
        </r>
      </text>
    </comment>
    <comment ref="BR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jmora:</t>
        </r>
        <r>
          <rPr>
            <sz val="8"/>
            <color indexed="81"/>
            <rFont val="Tahoma"/>
            <family val="2"/>
          </rPr>
          <t xml:space="preserve">
J.g. - within 0.01m2 subsample</t>
        </r>
      </text>
    </comment>
    <comment ref="BS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jmora:</t>
        </r>
        <r>
          <rPr>
            <sz val="8"/>
            <color indexed="81"/>
            <rFont val="Tahoma"/>
            <family val="2"/>
          </rPr>
          <t xml:space="preserve">
P.a. - within 0.0625m2 subsample
</t>
        </r>
      </text>
    </comment>
    <comment ref="BT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jmora:</t>
        </r>
        <r>
          <rPr>
            <sz val="8"/>
            <color indexed="81"/>
            <rFont val="Tahoma"/>
            <family val="2"/>
          </rPr>
          <t xml:space="preserve">
Sc.am - within 0.0625m2 subsample
</t>
        </r>
      </text>
    </comment>
    <comment ref="BU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jmora:</t>
        </r>
        <r>
          <rPr>
            <sz val="8"/>
            <color indexed="81"/>
            <rFont val="Tahoma"/>
            <family val="2"/>
          </rPr>
          <t xml:space="preserve">
Sp.al. - within 0.0625m2 subsample
</t>
        </r>
      </text>
    </comment>
    <comment ref="BV1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jmora:</t>
        </r>
        <r>
          <rPr>
            <sz val="8"/>
            <color indexed="81"/>
            <rFont val="Tahoma"/>
            <family val="2"/>
          </rPr>
          <t xml:space="preserve">
S.p. - within 0.01m2 subsample
</t>
        </r>
      </text>
    </comment>
    <comment ref="BW1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jmora:</t>
        </r>
        <r>
          <rPr>
            <sz val="8"/>
            <color indexed="81"/>
            <rFont val="Tahoma"/>
            <family val="2"/>
          </rPr>
          <t xml:space="preserve">
Ty.an. - within 0.0625m2 subsample
</t>
        </r>
      </text>
    </comment>
    <comment ref="BY1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jmora:</t>
        </r>
        <r>
          <rPr>
            <sz val="8"/>
            <color indexed="81"/>
            <rFont val="Tahoma"/>
            <family val="2"/>
          </rPr>
          <t xml:space="preserve">
P.a. - within 0.0625m2 subsample
</t>
        </r>
      </text>
    </comment>
    <comment ref="BZ1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jmora:</t>
        </r>
        <r>
          <rPr>
            <sz val="8"/>
            <color indexed="81"/>
            <rFont val="Tahoma"/>
            <family val="2"/>
          </rPr>
          <t xml:space="preserve">
Sc.am - within 0.0625m2 subsample
</t>
        </r>
      </text>
    </comment>
    <comment ref="CA1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jmora:</t>
        </r>
        <r>
          <rPr>
            <sz val="8"/>
            <color indexed="81"/>
            <rFont val="Tahoma"/>
            <family val="2"/>
          </rPr>
          <t xml:space="preserve">
Sp.al. - within 0.0625m2 subsample
</t>
        </r>
      </text>
    </comment>
    <comment ref="CB1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jmora:</t>
        </r>
        <r>
          <rPr>
            <sz val="8"/>
            <color indexed="81"/>
            <rFont val="Tahoma"/>
            <family val="2"/>
          </rPr>
          <t xml:space="preserve">
Ty.an. - within 0.0625m2 subsample
</t>
        </r>
      </text>
    </comment>
    <comment ref="BK53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jmora:</t>
        </r>
        <r>
          <rPr>
            <sz val="8"/>
            <color indexed="81"/>
            <rFont val="Tahoma"/>
            <family val="2"/>
          </rPr>
          <t xml:space="preserve">
20% dead (last-year's growth)
10% Live Baccharis</t>
        </r>
      </text>
    </comment>
    <comment ref="P64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jmora:</t>
        </r>
        <r>
          <rPr>
            <sz val="8"/>
            <color indexed="81"/>
            <rFont val="Tahoma"/>
            <family val="2"/>
          </rPr>
          <t xml:space="preserve">
Dassia sp.
</t>
        </r>
      </text>
    </comment>
  </commentList>
</comments>
</file>

<file path=xl/sharedStrings.xml><?xml version="1.0" encoding="utf-8"?>
<sst xmlns="http://schemas.openxmlformats.org/spreadsheetml/2006/main" count="546" uniqueCount="155">
  <si>
    <t>Waterbody</t>
  </si>
  <si>
    <t>Section</t>
  </si>
  <si>
    <t>Transect</t>
  </si>
  <si>
    <t>Plot #</t>
  </si>
  <si>
    <t>Sage Lot</t>
  </si>
  <si>
    <t>Latitude</t>
  </si>
  <si>
    <t>Longitude</t>
  </si>
  <si>
    <t>W70°30’26.1"</t>
  </si>
  <si>
    <t>N41°33’15.4"</t>
  </si>
  <si>
    <t>N41°33’15.2"</t>
  </si>
  <si>
    <t>N41°33’14.7”</t>
  </si>
  <si>
    <t>N41°33’14.5”</t>
  </si>
  <si>
    <t>W70°30’20.8”</t>
  </si>
  <si>
    <t>W70°30’20.2”</t>
  </si>
  <si>
    <t>Spartina alterniflora</t>
  </si>
  <si>
    <t>Spartina patens</t>
  </si>
  <si>
    <t>Distichlis spicata</t>
  </si>
  <si>
    <t>Juncus gerardii</t>
  </si>
  <si>
    <t>Solidago sempervirens</t>
  </si>
  <si>
    <t>Plantago maritima</t>
  </si>
  <si>
    <t>Iva frutescens</t>
  </si>
  <si>
    <t>Rosa rugosa</t>
  </si>
  <si>
    <t>Wrack</t>
  </si>
  <si>
    <t xml:space="preserve">Min = </t>
  </si>
  <si>
    <t xml:space="preserve">Max = </t>
  </si>
  <si>
    <t>Difference</t>
  </si>
  <si>
    <t>Meters</t>
  </si>
  <si>
    <t>Ft</t>
  </si>
  <si>
    <t>(With pools)</t>
  </si>
  <si>
    <t>(Without Pools)</t>
  </si>
  <si>
    <t>Distance from 0m Plot</t>
  </si>
  <si>
    <t>Section 2 Max &amp; Min elevation:</t>
  </si>
  <si>
    <t>Dog Marsh</t>
  </si>
  <si>
    <t>N41° 33’ 15.6"</t>
  </si>
  <si>
    <t>Agalinis maritima</t>
  </si>
  <si>
    <t>Cuscuta  gronovii</t>
  </si>
  <si>
    <t>Festuca  rubra</t>
  </si>
  <si>
    <t>Hibiscus moscheutos</t>
  </si>
  <si>
    <t xml:space="preserve">Juniperus  virginiana </t>
  </si>
  <si>
    <t>Limonium carolinianum (nashii)</t>
  </si>
  <si>
    <t>Myrica gale</t>
  </si>
  <si>
    <t>Panicum virgatum</t>
  </si>
  <si>
    <t>Phragmites australis</t>
  </si>
  <si>
    <t>Prunus maritima</t>
  </si>
  <si>
    <t>Ruppia  maritima</t>
  </si>
  <si>
    <t>Salicornia depressa (virginica)</t>
  </si>
  <si>
    <t xml:space="preserve">Scirpus americanus </t>
  </si>
  <si>
    <t>Solidago graminifolia</t>
  </si>
  <si>
    <t>Spartina cynosuroides</t>
  </si>
  <si>
    <t>Spartina pectinata</t>
  </si>
  <si>
    <t>Symphyotrichum (Aster) tenuifolius</t>
  </si>
  <si>
    <t>Toxicodendron radicans</t>
  </si>
  <si>
    <t>Triglochin maritimum</t>
  </si>
  <si>
    <t>Typha angustifolia</t>
  </si>
  <si>
    <t>Bare</t>
  </si>
  <si>
    <t>Dead</t>
  </si>
  <si>
    <t>Total Cover</t>
  </si>
  <si>
    <t>Date of Veg Survey</t>
  </si>
  <si>
    <t>Water</t>
  </si>
  <si>
    <t>Schoenoplectus americanus</t>
  </si>
  <si>
    <r>
      <t>N 41</t>
    </r>
    <r>
      <rPr>
        <vertAlign val="superscript"/>
        <sz val="10"/>
        <color indexed="8"/>
        <rFont val="Verdana"/>
        <family val="2"/>
      </rPr>
      <t xml:space="preserve">o </t>
    </r>
    <r>
      <rPr>
        <sz val="10"/>
        <color indexed="8"/>
        <rFont val="Verdana"/>
        <family val="2"/>
      </rPr>
      <t>33' 14.0"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</si>
  <si>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26.8"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</si>
  <si>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14.0"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</si>
  <si>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26.3"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</si>
  <si>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13.8"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</si>
  <si>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26.2"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</si>
  <si>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13.7"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</si>
  <si>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25.5"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</si>
  <si>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33'13.5"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</si>
  <si>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25.1"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</si>
  <si>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13.5"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</si>
  <si>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24.7"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</si>
  <si>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13.4"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</si>
  <si>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24.4"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</si>
  <si>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13.3"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</si>
  <si>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23.9"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</si>
  <si>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13.1"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</si>
  <si>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23.5"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</si>
  <si>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13.2"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</si>
  <si>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23.0"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</si>
  <si>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12.9"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</si>
  <si>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22.7"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</si>
  <si>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13.0"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</si>
  <si>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22.1"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</si>
  <si>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12.7"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</si>
  <si>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21.8"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</si>
  <si>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21.4"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</si>
  <si>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12.5"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</si>
  <si>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21.0"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</si>
  <si>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20.6"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</si>
  <si>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12.4"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</si>
  <si>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20.5"</t>
    </r>
  </si>
  <si>
    <r>
      <t>N41</t>
    </r>
    <r>
      <rPr>
        <sz val="10"/>
        <color indexed="0"/>
        <rFont val="Verdana"/>
        <family val="2"/>
      </rPr>
      <t>° 33’ 15.7”</t>
    </r>
  </si>
  <si>
    <r>
      <t>N41</t>
    </r>
    <r>
      <rPr>
        <sz val="10"/>
        <color indexed="0"/>
        <rFont val="Verdana"/>
        <family val="2"/>
      </rPr>
      <t>° 33’ 15.6”</t>
    </r>
  </si>
  <si>
    <r>
      <t>W70</t>
    </r>
    <r>
      <rPr>
        <sz val="10"/>
        <color indexed="0"/>
        <rFont val="Verdana"/>
        <family val="2"/>
      </rPr>
      <t>°30’25.8”</t>
    </r>
  </si>
  <si>
    <r>
      <t>W70</t>
    </r>
    <r>
      <rPr>
        <sz val="10"/>
        <color indexed="0"/>
        <rFont val="Verdana"/>
        <family val="2"/>
      </rPr>
      <t>°30’25.3”</t>
    </r>
  </si>
  <si>
    <r>
      <t>W70</t>
    </r>
    <r>
      <rPr>
        <sz val="10"/>
        <color indexed="0"/>
        <rFont val="Verdana"/>
        <family val="2"/>
      </rPr>
      <t>°30’25.0”</t>
    </r>
  </si>
  <si>
    <r>
      <t>W70</t>
    </r>
    <r>
      <rPr>
        <sz val="10"/>
        <color indexed="0"/>
        <rFont val="Verdana"/>
        <family val="2"/>
      </rPr>
      <t>°30’24.5”</t>
    </r>
  </si>
  <si>
    <r>
      <t>W70</t>
    </r>
    <r>
      <rPr>
        <sz val="10"/>
        <color indexed="0"/>
        <rFont val="Verdana"/>
        <family val="2"/>
      </rPr>
      <t>°30’24.1”</t>
    </r>
  </si>
  <si>
    <r>
      <t>N41</t>
    </r>
    <r>
      <rPr>
        <sz val="10"/>
        <color indexed="0"/>
        <rFont val="Verdana"/>
        <family val="2"/>
      </rPr>
      <t>°33’15.2”</t>
    </r>
  </si>
  <si>
    <r>
      <t>W70</t>
    </r>
    <r>
      <rPr>
        <sz val="10"/>
        <color indexed="0"/>
        <rFont val="Verdana"/>
        <family val="2"/>
      </rPr>
      <t>°30’23.6”</t>
    </r>
  </si>
  <si>
    <r>
      <t>N41</t>
    </r>
    <r>
      <rPr>
        <sz val="10"/>
        <color indexed="0"/>
        <rFont val="Verdana"/>
        <family val="2"/>
      </rPr>
      <t>°33’15.0”</t>
    </r>
  </si>
  <si>
    <r>
      <t>W70</t>
    </r>
    <r>
      <rPr>
        <sz val="10"/>
        <color indexed="0"/>
        <rFont val="Verdana"/>
        <family val="2"/>
      </rPr>
      <t>°30’23.2”</t>
    </r>
  </si>
  <si>
    <r>
      <t>W70</t>
    </r>
    <r>
      <rPr>
        <sz val="10"/>
        <color indexed="0"/>
        <rFont val="Verdana"/>
        <family val="2"/>
      </rPr>
      <t>°30’22.9”</t>
    </r>
  </si>
  <si>
    <r>
      <t>N41</t>
    </r>
    <r>
      <rPr>
        <sz val="10"/>
        <color indexed="0"/>
        <rFont val="Verdana"/>
        <family val="2"/>
      </rPr>
      <t>°33’14.8”</t>
    </r>
  </si>
  <si>
    <r>
      <t>W70</t>
    </r>
    <r>
      <rPr>
        <sz val="10"/>
        <color indexed="0"/>
        <rFont val="Verdana"/>
        <family val="2"/>
      </rPr>
      <t>°30’22.5”</t>
    </r>
  </si>
  <si>
    <r>
      <t>N41</t>
    </r>
    <r>
      <rPr>
        <sz val="10"/>
        <color indexed="0"/>
        <rFont val="Verdana"/>
        <family val="2"/>
      </rPr>
      <t>°33’14.9”</t>
    </r>
  </si>
  <si>
    <r>
      <t>W70</t>
    </r>
    <r>
      <rPr>
        <sz val="10"/>
        <color indexed="0"/>
        <rFont val="Verdana"/>
        <family val="2"/>
      </rPr>
      <t>°30’22.0”</t>
    </r>
  </si>
  <si>
    <r>
      <t>N41</t>
    </r>
    <r>
      <rPr>
        <sz val="10"/>
        <color indexed="0"/>
        <rFont val="Verdana"/>
        <family val="2"/>
      </rPr>
      <t>°33’14.7”</t>
    </r>
  </si>
  <si>
    <r>
      <t>W70</t>
    </r>
    <r>
      <rPr>
        <sz val="10"/>
        <color indexed="0"/>
        <rFont val="Verdana"/>
        <family val="2"/>
      </rPr>
      <t>°30’21.6”</t>
    </r>
  </si>
  <si>
    <r>
      <t>W70</t>
    </r>
    <r>
      <rPr>
        <sz val="10"/>
        <color indexed="0"/>
        <rFont val="Verdana"/>
        <family val="2"/>
      </rPr>
      <t>°30’21.1”</t>
    </r>
  </si>
  <si>
    <r>
      <t>N41</t>
    </r>
    <r>
      <rPr>
        <sz val="10"/>
        <color indexed="0"/>
        <rFont val="Verdana"/>
        <family val="2"/>
      </rPr>
      <t>°33’14.5”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</si>
  <si>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17.1"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</si>
  <si>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16.8"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</si>
  <si>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25.2"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</si>
  <si>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16.9"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</si>
  <si>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16.7"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</si>
  <si>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24.3"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</si>
  <si>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16.5"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</si>
  <si>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16.3"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</si>
  <si>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22.6"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</si>
  <si>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16.2"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</si>
  <si>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21.3"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</si>
  <si>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16.0"</t>
    </r>
  </si>
  <si>
    <r>
      <t>N 41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33' 15.9"</t>
    </r>
  </si>
  <si>
    <r>
      <t>W 70</t>
    </r>
    <r>
      <rPr>
        <vertAlign val="superscript"/>
        <sz val="10"/>
        <color indexed="8"/>
        <rFont val="Verdana"/>
        <family val="2"/>
      </rPr>
      <t>o</t>
    </r>
    <r>
      <rPr>
        <sz val="10"/>
        <color indexed="8"/>
        <rFont val="Verdana"/>
        <family val="2"/>
      </rPr>
      <t xml:space="preserve"> 30' 20.2"</t>
    </r>
  </si>
  <si>
    <t>Dead Red Cedar stump</t>
  </si>
  <si>
    <t>Baccharis halimifolia</t>
  </si>
  <si>
    <t xml:space="preserve">Elymus virginicus </t>
  </si>
  <si>
    <t>Suaeda linearis</t>
  </si>
  <si>
    <t>Algae sp.</t>
  </si>
  <si>
    <t>Trash</t>
  </si>
  <si>
    <t>Salicornia maritima (europaea)</t>
  </si>
  <si>
    <t>Perriwinkle snails</t>
  </si>
  <si>
    <t>Salicornia sp.</t>
  </si>
  <si>
    <t>shells</t>
  </si>
  <si>
    <t>Ilex glabra</t>
  </si>
  <si>
    <t xml:space="preserve">Vaccinium corymbosum </t>
  </si>
  <si>
    <t>Unknown</t>
  </si>
  <si>
    <t>Smilax glauca</t>
  </si>
  <si>
    <t>Pinus rigida</t>
  </si>
  <si>
    <t>Myrica sp.</t>
  </si>
  <si>
    <t>Morella (Myrica) pensylvanica</t>
  </si>
  <si>
    <t>Morella pensylvanica</t>
  </si>
  <si>
    <t>PLOTNUMBER</t>
  </si>
  <si>
    <t>s1</t>
  </si>
  <si>
    <t>t3</t>
  </si>
  <si>
    <t>s2</t>
  </si>
  <si>
    <t>t2</t>
  </si>
  <si>
    <t>t1</t>
  </si>
  <si>
    <t>t4</t>
  </si>
  <si>
    <t>s3</t>
  </si>
  <si>
    <t>NAVD Elevation (m)</t>
  </si>
  <si>
    <t>NA</t>
  </si>
  <si>
    <t>NAVD 88 from other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</si>
</sst>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vertAlign val="superscript"/>
      <sz val="10"/>
      <color indexed="8"/>
      <name val="Verdana"/>
      <family val="2"/>
    </font>
    <font>
      <sz val="10"/>
      <color indexed="8"/>
      <name val="Verdana"/>
      <family val="2"/>
    </font>
    <font>
      <sz val="10"/>
      <color indexed="0"/>
      <name val="Verdana"/>
      <family val="2"/>
    </font>
    <font>
      <sz val="10"/>
      <color theme="1"/>
      <name val="Verdana"/>
      <family val="2"/>
    </font>
    <font>
      <i/>
      <sz val="10"/>
      <color theme="1"/>
      <name val="Verdana"/>
      <family val="2"/>
    </font>
    <font>
      <b/>
      <sz val="10"/>
      <color theme="1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0" fontId="6" fillId="0" borderId="1" xfId="0" applyFont="1" applyBorder="1" applyAlignment="1">
      <alignment horizontal="center" wrapText="1"/>
    </xf>
    <xf numFmtId="0" fontId="6" fillId="0" borderId="1" xfId="0" applyFont="1" applyBorder="1"/>
    <xf numFmtId="0" fontId="6" fillId="0" borderId="0" xfId="0" applyFont="1"/>
    <xf numFmtId="14" fontId="6" fillId="0" borderId="0" xfId="0" applyNumberFormat="1" applyFont="1"/>
    <xf numFmtId="0" fontId="7" fillId="0" borderId="0" xfId="0" applyFont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7" fillId="0" borderId="2" xfId="0" applyFont="1" applyBorder="1" applyAlignment="1">
      <alignment horizontal="center" textRotation="90" wrapText="1"/>
    </xf>
    <xf numFmtId="0" fontId="7" fillId="0" borderId="3" xfId="0" applyFont="1" applyBorder="1" applyAlignment="1">
      <alignment horizontal="center" textRotation="90" wrapText="1"/>
    </xf>
    <xf numFmtId="0" fontId="6" fillId="0" borderId="0" xfId="0" applyFont="1" applyAlignment="1">
      <alignment horizontal="center" wrapText="1"/>
    </xf>
    <xf numFmtId="164" fontId="6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/>
    <xf numFmtId="164" fontId="6" fillId="2" borderId="1" xfId="0" applyNumberFormat="1" applyFont="1" applyFill="1" applyBorder="1"/>
    <xf numFmtId="0" fontId="6" fillId="0" borderId="0" xfId="0" applyFont="1" applyAlignment="1">
      <alignment horizontal="center" textRotation="90" wrapText="1"/>
    </xf>
    <xf numFmtId="0" fontId="8" fillId="0" borderId="1" xfId="0" applyFont="1" applyBorder="1" applyAlignment="1">
      <alignment horizontal="center" wrapText="1"/>
    </xf>
    <xf numFmtId="1" fontId="6" fillId="0" borderId="3" xfId="0" applyNumberFormat="1" applyFont="1" applyBorder="1" applyAlignment="1">
      <alignment horizontal="center" wrapText="1"/>
    </xf>
    <xf numFmtId="1" fontId="6" fillId="0" borderId="3" xfId="0" applyNumberFormat="1" applyFont="1" applyBorder="1"/>
    <xf numFmtId="0" fontId="6" fillId="0" borderId="3" xfId="0" applyFont="1" applyBorder="1"/>
    <xf numFmtId="0" fontId="8" fillId="0" borderId="4" xfId="0" applyFont="1" applyBorder="1" applyAlignment="1">
      <alignment horizontal="center" wrapText="1"/>
    </xf>
    <xf numFmtId="14" fontId="8" fillId="0" borderId="4" xfId="0" applyNumberFormat="1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right" wrapText="1"/>
    </xf>
    <xf numFmtId="165" fontId="6" fillId="0" borderId="1" xfId="0" applyNumberFormat="1" applyFont="1" applyBorder="1" applyAlignment="1">
      <alignment horizontal="right" wrapText="1"/>
    </xf>
    <xf numFmtId="1" fontId="6" fillId="0" borderId="1" xfId="0" applyNumberFormat="1" applyFont="1" applyBorder="1" applyAlignment="1">
      <alignment horizontal="right" wrapText="1"/>
    </xf>
    <xf numFmtId="165" fontId="7" fillId="0" borderId="1" xfId="0" applyNumberFormat="1" applyFont="1" applyBorder="1" applyAlignment="1">
      <alignment horizontal="center" textRotation="90" wrapText="1"/>
    </xf>
    <xf numFmtId="165" fontId="6" fillId="0" borderId="1" xfId="0" applyNumberFormat="1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center" wrapText="1"/>
    </xf>
    <xf numFmtId="14" fontId="6" fillId="0" borderId="1" xfId="0" applyNumberFormat="1" applyFont="1" applyBorder="1"/>
    <xf numFmtId="1" fontId="6" fillId="0" borderId="1" xfId="0" applyNumberFormat="1" applyFont="1" applyBorder="1"/>
    <xf numFmtId="165" fontId="6" fillId="0" borderId="1" xfId="0" applyNumberFormat="1" applyFont="1" applyBorder="1"/>
    <xf numFmtId="2" fontId="6" fillId="0" borderId="1" xfId="0" applyNumberFormat="1" applyFont="1" applyBorder="1"/>
    <xf numFmtId="164" fontId="9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21"/>
  <sheetViews>
    <sheetView tabSelected="1" workbookViewId="0">
      <pane xSplit="12" ySplit="1" topLeftCell="M21" activePane="bottomRight" state="frozen"/>
      <selection pane="topRight" activeCell="K1" sqref="K1"/>
      <selection pane="bottomLeft" activeCell="A3" sqref="A3"/>
      <selection pane="bottomRight" activeCell="J37" sqref="J37"/>
    </sheetView>
  </sheetViews>
  <sheetFormatPr baseColWidth="10" defaultColWidth="11.33203125" defaultRowHeight="13" x14ac:dyDescent="0.15"/>
  <cols>
    <col min="1" max="1" width="13" style="4" customWidth="1"/>
    <col min="2" max="2" width="10.33203125" style="4" customWidth="1"/>
    <col min="3" max="3" width="10.5" style="4" customWidth="1"/>
    <col min="4" max="10" width="11.5" style="4" customWidth="1"/>
    <col min="11" max="11" width="11.5" style="5" customWidth="1"/>
    <col min="12" max="12" width="7.33203125" style="4" customWidth="1"/>
    <col min="13" max="13" width="7.5" style="4" bestFit="1" customWidth="1"/>
    <col min="14" max="14" width="6.5" style="4" bestFit="1" customWidth="1"/>
    <col min="15" max="15" width="7.1640625" style="4" bestFit="1" customWidth="1"/>
    <col min="16" max="18" width="7" style="4" customWidth="1"/>
    <col min="19" max="19" width="5.1640625" style="4" bestFit="1" customWidth="1"/>
    <col min="20" max="20" width="6" style="4" customWidth="1"/>
    <col min="21" max="21" width="3.5" style="4" bestFit="1" customWidth="1"/>
    <col min="22" max="22" width="7.6640625" style="4" bestFit="1" customWidth="1"/>
    <col min="23" max="23" width="5.5" style="4" customWidth="1"/>
    <col min="24" max="25" width="3.5" style="4" bestFit="1" customWidth="1"/>
    <col min="26" max="26" width="5.5" style="4" customWidth="1"/>
    <col min="27" max="28" width="5.33203125" style="4" bestFit="1" customWidth="1"/>
    <col min="29" max="29" width="4" style="4" bestFit="1" customWidth="1"/>
    <col min="30" max="30" width="5.33203125" style="4" bestFit="1" customWidth="1"/>
    <col min="31" max="31" width="5.33203125" style="4" customWidth="1"/>
    <col min="32" max="34" width="4" style="4" bestFit="1" customWidth="1"/>
    <col min="35" max="35" width="3.5" style="4" bestFit="1" customWidth="1"/>
    <col min="36" max="36" width="4.5" style="4" customWidth="1"/>
    <col min="37" max="37" width="5.1640625" style="4" bestFit="1" customWidth="1"/>
    <col min="38" max="38" width="3.5" style="4" bestFit="1" customWidth="1"/>
    <col min="39" max="39" width="4" style="4" bestFit="1" customWidth="1"/>
    <col min="40" max="40" width="6.5" style="4" bestFit="1" customWidth="1"/>
    <col min="41" max="41" width="6.33203125" style="4" customWidth="1"/>
    <col min="42" max="43" width="5.33203125" style="4" bestFit="1" customWidth="1"/>
    <col min="44" max="44" width="5.1640625" style="4" bestFit="1" customWidth="1"/>
    <col min="45" max="45" width="5.1640625" style="4" customWidth="1"/>
    <col min="46" max="46" width="4" style="4" bestFit="1" customWidth="1"/>
    <col min="47" max="47" width="5.1640625" style="4" bestFit="1" customWidth="1"/>
    <col min="48" max="48" width="6.5" style="4" bestFit="1" customWidth="1"/>
    <col min="49" max="49" width="4" style="4" bestFit="1" customWidth="1"/>
    <col min="50" max="50" width="6.5" style="4" bestFit="1" customWidth="1"/>
    <col min="51" max="51" width="3.5" style="4" bestFit="1" customWidth="1"/>
    <col min="52" max="52" width="4.1640625" style="4" bestFit="1" customWidth="1"/>
    <col min="53" max="53" width="5.33203125" style="4" bestFit="1" customWidth="1"/>
    <col min="54" max="54" width="4" style="4" bestFit="1" customWidth="1"/>
    <col min="55" max="55" width="5.1640625" style="4" bestFit="1" customWidth="1"/>
    <col min="56" max="56" width="3.5" style="4" bestFit="1" customWidth="1"/>
    <col min="57" max="57" width="4.5" style="4" customWidth="1"/>
    <col min="58" max="58" width="5.33203125" style="4" customWidth="1"/>
    <col min="59" max="59" width="3.5" style="4" customWidth="1"/>
    <col min="60" max="60" width="2.5" style="4" customWidth="1"/>
    <col min="61" max="61" width="7.5" style="4" bestFit="1" customWidth="1"/>
    <col min="62" max="63" width="3.5" style="4" bestFit="1" customWidth="1"/>
    <col min="64" max="64" width="3.5" style="4" customWidth="1"/>
    <col min="65" max="65" width="3.5" style="4" bestFit="1" customWidth="1"/>
    <col min="66" max="68" width="3.5" style="4" customWidth="1"/>
    <col min="69" max="69" width="5.1640625" style="4" bestFit="1" customWidth="1"/>
    <col min="70" max="72" width="3.5" style="4" bestFit="1" customWidth="1"/>
    <col min="73" max="73" width="5" style="4" customWidth="1"/>
    <col min="74" max="74" width="5.33203125" style="4" customWidth="1"/>
    <col min="75" max="78" width="3.5" style="4" bestFit="1" customWidth="1"/>
    <col min="79" max="79" width="6.33203125" style="4" bestFit="1" customWidth="1"/>
    <col min="80" max="80" width="3.5" style="4" bestFit="1" customWidth="1"/>
    <col min="81" max="16384" width="11.33203125" style="4"/>
  </cols>
  <sheetData>
    <row r="1" spans="1:80" s="10" customFormat="1" ht="197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144</v>
      </c>
      <c r="F1" s="16" t="s">
        <v>30</v>
      </c>
      <c r="G1" s="16" t="s">
        <v>5</v>
      </c>
      <c r="H1" s="16" t="s">
        <v>6</v>
      </c>
      <c r="I1" s="20" t="s">
        <v>152</v>
      </c>
      <c r="J1" s="20" t="s">
        <v>154</v>
      </c>
      <c r="K1" s="21" t="s">
        <v>57</v>
      </c>
      <c r="L1" s="20" t="s">
        <v>56</v>
      </c>
      <c r="M1" s="15" t="s">
        <v>54</v>
      </c>
      <c r="N1" s="15" t="s">
        <v>55</v>
      </c>
      <c r="O1" s="15" t="s">
        <v>22</v>
      </c>
      <c r="P1" s="15" t="s">
        <v>130</v>
      </c>
      <c r="Q1" s="15" t="s">
        <v>133</v>
      </c>
      <c r="R1" s="15" t="s">
        <v>135</v>
      </c>
      <c r="S1" s="6" t="s">
        <v>34</v>
      </c>
      <c r="T1" s="6" t="s">
        <v>127</v>
      </c>
      <c r="U1" s="6" t="s">
        <v>35</v>
      </c>
      <c r="V1" s="6" t="s">
        <v>16</v>
      </c>
      <c r="W1" s="6" t="s">
        <v>128</v>
      </c>
      <c r="X1" s="6" t="s">
        <v>36</v>
      </c>
      <c r="Y1" s="6" t="s">
        <v>37</v>
      </c>
      <c r="Z1" s="6" t="s">
        <v>136</v>
      </c>
      <c r="AA1" s="6" t="s">
        <v>20</v>
      </c>
      <c r="AB1" s="6" t="s">
        <v>17</v>
      </c>
      <c r="AC1" s="6" t="s">
        <v>38</v>
      </c>
      <c r="AD1" s="6" t="s">
        <v>39</v>
      </c>
      <c r="AE1" s="6" t="s">
        <v>141</v>
      </c>
      <c r="AF1" s="6" t="s">
        <v>142</v>
      </c>
      <c r="AG1" s="6" t="s">
        <v>40</v>
      </c>
      <c r="AH1" s="6" t="s">
        <v>41</v>
      </c>
      <c r="AI1" s="6" t="s">
        <v>42</v>
      </c>
      <c r="AJ1" s="6" t="s">
        <v>140</v>
      </c>
      <c r="AK1" s="6" t="s">
        <v>19</v>
      </c>
      <c r="AL1" s="6" t="s">
        <v>43</v>
      </c>
      <c r="AM1" s="6" t="s">
        <v>21</v>
      </c>
      <c r="AN1" s="6" t="s">
        <v>44</v>
      </c>
      <c r="AO1" s="6" t="s">
        <v>134</v>
      </c>
      <c r="AP1" s="6" t="s">
        <v>45</v>
      </c>
      <c r="AQ1" s="6" t="s">
        <v>132</v>
      </c>
      <c r="AR1" s="6" t="s">
        <v>46</v>
      </c>
      <c r="AS1" s="6" t="s">
        <v>139</v>
      </c>
      <c r="AT1" s="6" t="s">
        <v>47</v>
      </c>
      <c r="AU1" s="6" t="s">
        <v>18</v>
      </c>
      <c r="AV1" s="6" t="s">
        <v>14</v>
      </c>
      <c r="AW1" s="6" t="s">
        <v>48</v>
      </c>
      <c r="AX1" s="6" t="s">
        <v>15</v>
      </c>
      <c r="AY1" s="6" t="s">
        <v>49</v>
      </c>
      <c r="AZ1" s="6" t="s">
        <v>129</v>
      </c>
      <c r="BA1" s="6" t="s">
        <v>50</v>
      </c>
      <c r="BB1" s="6" t="s">
        <v>51</v>
      </c>
      <c r="BC1" s="6" t="s">
        <v>52</v>
      </c>
      <c r="BD1" s="6" t="s">
        <v>53</v>
      </c>
      <c r="BE1" s="6" t="s">
        <v>137</v>
      </c>
      <c r="BF1" s="6" t="s">
        <v>138</v>
      </c>
      <c r="BG1" s="6" t="s">
        <v>126</v>
      </c>
      <c r="BH1" s="6" t="s">
        <v>131</v>
      </c>
      <c r="BI1" s="7" t="s">
        <v>58</v>
      </c>
      <c r="BJ1" s="6" t="s">
        <v>20</v>
      </c>
      <c r="BK1" s="6" t="s">
        <v>127</v>
      </c>
      <c r="BL1" s="6" t="s">
        <v>55</v>
      </c>
      <c r="BM1" s="6" t="s">
        <v>38</v>
      </c>
      <c r="BN1" s="6" t="s">
        <v>143</v>
      </c>
      <c r="BO1" s="6" t="s">
        <v>140</v>
      </c>
      <c r="BP1" s="6" t="s">
        <v>137</v>
      </c>
      <c r="BQ1" s="8" t="s">
        <v>16</v>
      </c>
      <c r="BR1" s="6" t="s">
        <v>17</v>
      </c>
      <c r="BS1" s="6" t="s">
        <v>42</v>
      </c>
      <c r="BT1" s="6" t="s">
        <v>59</v>
      </c>
      <c r="BU1" s="6" t="s">
        <v>14</v>
      </c>
      <c r="BV1" s="6" t="s">
        <v>15</v>
      </c>
      <c r="BW1" s="9" t="s">
        <v>53</v>
      </c>
      <c r="BX1" s="8" t="s">
        <v>20</v>
      </c>
      <c r="BY1" s="6" t="s">
        <v>42</v>
      </c>
      <c r="BZ1" s="6" t="s">
        <v>59</v>
      </c>
      <c r="CA1" s="6" t="s">
        <v>14</v>
      </c>
      <c r="CB1" s="9" t="s">
        <v>53</v>
      </c>
    </row>
    <row r="2" spans="1:80" s="10" customFormat="1" ht="14" x14ac:dyDescent="0.15">
      <c r="A2" s="2" t="s">
        <v>4</v>
      </c>
      <c r="B2" s="2" t="s">
        <v>145</v>
      </c>
      <c r="C2" s="2" t="s">
        <v>149</v>
      </c>
      <c r="D2" s="2">
        <v>1</v>
      </c>
      <c r="E2" s="2" t="str">
        <f t="shared" ref="E2:E33" si="0">CONCATENATE(B2,C2,"p",D2)</f>
        <v>s1t1p1</v>
      </c>
      <c r="F2" s="2">
        <v>0</v>
      </c>
      <c r="G2" s="2"/>
      <c r="H2" s="2"/>
      <c r="I2" s="11">
        <v>0.48996599999999985</v>
      </c>
      <c r="J2" s="11"/>
      <c r="K2" s="22">
        <v>40787</v>
      </c>
      <c r="L2" s="23">
        <f t="shared" ref="L2:L33" si="1">SUM(M2:BH2)</f>
        <v>100</v>
      </c>
      <c r="M2" s="24">
        <v>8</v>
      </c>
      <c r="N2" s="24">
        <v>10</v>
      </c>
      <c r="O2" s="23">
        <v>1</v>
      </c>
      <c r="P2" s="23"/>
      <c r="Q2" s="23"/>
      <c r="R2" s="23"/>
      <c r="S2" s="25"/>
      <c r="T2" s="25"/>
      <c r="U2" s="25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>
        <v>78</v>
      </c>
      <c r="AW2" s="26"/>
      <c r="AX2" s="26">
        <v>3</v>
      </c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>
        <v>151</v>
      </c>
      <c r="BV2" s="27">
        <v>0</v>
      </c>
      <c r="BW2" s="27"/>
      <c r="BX2" s="27"/>
      <c r="BY2" s="27"/>
      <c r="BZ2" s="27"/>
      <c r="CA2" s="27">
        <v>41</v>
      </c>
      <c r="CB2" s="17"/>
    </row>
    <row r="3" spans="1:80" s="10" customFormat="1" ht="14" x14ac:dyDescent="0.15">
      <c r="A3" s="2" t="s">
        <v>4</v>
      </c>
      <c r="B3" s="2" t="s">
        <v>145</v>
      </c>
      <c r="C3" s="2" t="s">
        <v>149</v>
      </c>
      <c r="D3" s="2">
        <v>2</v>
      </c>
      <c r="E3" s="2" t="str">
        <f t="shared" si="0"/>
        <v>s1t1p2</v>
      </c>
      <c r="F3" s="2">
        <v>10</v>
      </c>
      <c r="G3" s="2"/>
      <c r="H3" s="2"/>
      <c r="I3" s="11">
        <v>0.50368200000000007</v>
      </c>
      <c r="J3" s="11"/>
      <c r="K3" s="22">
        <v>40787</v>
      </c>
      <c r="L3" s="23">
        <f t="shared" si="1"/>
        <v>100</v>
      </c>
      <c r="M3" s="24">
        <v>10</v>
      </c>
      <c r="N3" s="24">
        <v>10</v>
      </c>
      <c r="O3" s="23"/>
      <c r="P3" s="23"/>
      <c r="Q3" s="23"/>
      <c r="R3" s="23"/>
      <c r="S3" s="25"/>
      <c r="T3" s="25"/>
      <c r="U3" s="25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>
        <v>80</v>
      </c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>
        <v>137</v>
      </c>
      <c r="BV3" s="27"/>
      <c r="BW3" s="27"/>
      <c r="BX3" s="27"/>
      <c r="BY3" s="27"/>
      <c r="BZ3" s="27"/>
      <c r="CA3" s="27">
        <v>43</v>
      </c>
      <c r="CB3" s="17"/>
    </row>
    <row r="4" spans="1:80" s="10" customFormat="1" ht="14" x14ac:dyDescent="0.15">
      <c r="A4" s="2" t="s">
        <v>4</v>
      </c>
      <c r="B4" s="2" t="s">
        <v>145</v>
      </c>
      <c r="C4" s="2" t="s">
        <v>149</v>
      </c>
      <c r="D4" s="2">
        <v>3</v>
      </c>
      <c r="E4" s="2" t="str">
        <f t="shared" si="0"/>
        <v>s1t1p3</v>
      </c>
      <c r="F4" s="2">
        <v>20</v>
      </c>
      <c r="G4" s="2"/>
      <c r="H4" s="2"/>
      <c r="I4" s="11">
        <v>0.52349400000000024</v>
      </c>
      <c r="J4" s="11"/>
      <c r="K4" s="22">
        <v>40787</v>
      </c>
      <c r="L4" s="23">
        <f t="shared" si="1"/>
        <v>100</v>
      </c>
      <c r="M4" s="24">
        <v>2</v>
      </c>
      <c r="N4" s="24">
        <v>8</v>
      </c>
      <c r="O4" s="23"/>
      <c r="P4" s="23"/>
      <c r="Q4" s="23"/>
      <c r="R4" s="23"/>
      <c r="S4" s="25"/>
      <c r="T4" s="25"/>
      <c r="U4" s="25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>
        <v>1</v>
      </c>
      <c r="AQ4" s="26">
        <v>0.5</v>
      </c>
      <c r="AR4" s="26"/>
      <c r="AS4" s="26"/>
      <c r="AT4" s="26"/>
      <c r="AU4" s="26"/>
      <c r="AV4" s="26">
        <v>88.5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>
        <v>179</v>
      </c>
      <c r="BV4" s="27"/>
      <c r="BW4" s="27"/>
      <c r="BX4" s="27"/>
      <c r="BY4" s="27"/>
      <c r="BZ4" s="27"/>
      <c r="CA4" s="27">
        <v>33</v>
      </c>
      <c r="CB4" s="17"/>
    </row>
    <row r="5" spans="1:80" s="10" customFormat="1" ht="14" x14ac:dyDescent="0.15">
      <c r="A5" s="2" t="s">
        <v>4</v>
      </c>
      <c r="B5" s="2" t="s">
        <v>145</v>
      </c>
      <c r="C5" s="2" t="s">
        <v>149</v>
      </c>
      <c r="D5" s="2">
        <v>4</v>
      </c>
      <c r="E5" s="2" t="str">
        <f t="shared" si="0"/>
        <v>s1t1p4</v>
      </c>
      <c r="F5" s="2">
        <v>30</v>
      </c>
      <c r="G5" s="2"/>
      <c r="H5" s="2"/>
      <c r="I5" s="11">
        <v>0.50901600000000014</v>
      </c>
      <c r="J5" s="11"/>
      <c r="K5" s="22">
        <v>40787</v>
      </c>
      <c r="L5" s="23">
        <f t="shared" si="1"/>
        <v>100</v>
      </c>
      <c r="M5" s="24">
        <v>1</v>
      </c>
      <c r="N5" s="24">
        <v>14</v>
      </c>
      <c r="O5" s="23"/>
      <c r="P5" s="23"/>
      <c r="Q5" s="23"/>
      <c r="R5" s="23"/>
      <c r="S5" s="25"/>
      <c r="T5" s="25"/>
      <c r="U5" s="25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>
        <v>85</v>
      </c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>
        <v>117</v>
      </c>
      <c r="BV5" s="27"/>
      <c r="BW5" s="27"/>
      <c r="BX5" s="27"/>
      <c r="BY5" s="27"/>
      <c r="BZ5" s="27"/>
      <c r="CA5" s="27">
        <v>30</v>
      </c>
      <c r="CB5" s="17"/>
    </row>
    <row r="6" spans="1:80" s="10" customFormat="1" ht="14" x14ac:dyDescent="0.15">
      <c r="A6" s="2" t="s">
        <v>4</v>
      </c>
      <c r="B6" s="2" t="s">
        <v>145</v>
      </c>
      <c r="C6" s="2" t="s">
        <v>149</v>
      </c>
      <c r="D6" s="2">
        <v>5</v>
      </c>
      <c r="E6" s="2" t="str">
        <f t="shared" si="0"/>
        <v>s1t1p5</v>
      </c>
      <c r="F6" s="2">
        <v>40</v>
      </c>
      <c r="G6" s="2"/>
      <c r="H6" s="2"/>
      <c r="I6" s="11">
        <v>7.0485000000000061E-2</v>
      </c>
      <c r="J6" s="11"/>
      <c r="K6" s="22">
        <v>40787</v>
      </c>
      <c r="L6" s="23">
        <f t="shared" si="1"/>
        <v>100</v>
      </c>
      <c r="M6" s="24">
        <v>92</v>
      </c>
      <c r="N6" s="24"/>
      <c r="O6" s="23"/>
      <c r="P6" s="23">
        <v>8</v>
      </c>
      <c r="Q6" s="23"/>
      <c r="R6" s="23"/>
      <c r="S6" s="25"/>
      <c r="T6" s="25"/>
      <c r="U6" s="25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7">
        <v>100</v>
      </c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17"/>
    </row>
    <row r="7" spans="1:80" s="10" customFormat="1" ht="14" x14ac:dyDescent="0.15">
      <c r="A7" s="2" t="s">
        <v>4</v>
      </c>
      <c r="B7" s="2" t="s">
        <v>145</v>
      </c>
      <c r="C7" s="2" t="s">
        <v>149</v>
      </c>
      <c r="D7" s="2">
        <v>6</v>
      </c>
      <c r="E7" s="2" t="str">
        <f t="shared" si="0"/>
        <v>s1t1p6</v>
      </c>
      <c r="F7" s="2">
        <v>50</v>
      </c>
      <c r="G7" s="2"/>
      <c r="H7" s="2"/>
      <c r="I7" s="11">
        <v>0.51015900000000014</v>
      </c>
      <c r="J7" s="11"/>
      <c r="K7" s="22">
        <v>40787</v>
      </c>
      <c r="L7" s="23">
        <f t="shared" si="1"/>
        <v>100</v>
      </c>
      <c r="M7" s="24">
        <v>13</v>
      </c>
      <c r="N7" s="24">
        <v>3</v>
      </c>
      <c r="O7" s="23"/>
      <c r="P7" s="23"/>
      <c r="Q7" s="23"/>
      <c r="R7" s="23"/>
      <c r="S7" s="25"/>
      <c r="T7" s="25"/>
      <c r="U7" s="25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>
        <v>84</v>
      </c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7">
        <v>12</v>
      </c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>
        <v>108</v>
      </c>
      <c r="BV7" s="27"/>
      <c r="BW7" s="27"/>
      <c r="BX7" s="27"/>
      <c r="BY7" s="27"/>
      <c r="BZ7" s="27"/>
      <c r="CA7" s="27">
        <v>49</v>
      </c>
      <c r="CB7" s="17"/>
    </row>
    <row r="8" spans="1:80" s="10" customFormat="1" ht="14" x14ac:dyDescent="0.15">
      <c r="A8" s="2" t="s">
        <v>4</v>
      </c>
      <c r="B8" s="2" t="s">
        <v>145</v>
      </c>
      <c r="C8" s="2" t="s">
        <v>149</v>
      </c>
      <c r="D8" s="2">
        <v>7</v>
      </c>
      <c r="E8" s="2" t="str">
        <f t="shared" si="0"/>
        <v>s1t1p7</v>
      </c>
      <c r="F8" s="2">
        <v>60</v>
      </c>
      <c r="G8" s="2"/>
      <c r="H8" s="2"/>
      <c r="I8" s="11">
        <v>0.44500800000000013</v>
      </c>
      <c r="J8" s="11"/>
      <c r="K8" s="22">
        <v>40787</v>
      </c>
      <c r="L8" s="23">
        <f t="shared" si="1"/>
        <v>100</v>
      </c>
      <c r="M8" s="24">
        <v>11</v>
      </c>
      <c r="N8" s="24">
        <v>2</v>
      </c>
      <c r="O8" s="23"/>
      <c r="P8" s="23"/>
      <c r="Q8" s="23"/>
      <c r="R8" s="23"/>
      <c r="S8" s="25"/>
      <c r="T8" s="25"/>
      <c r="U8" s="25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>
        <v>87</v>
      </c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7">
        <v>10</v>
      </c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>
        <v>140</v>
      </c>
      <c r="BV8" s="27"/>
      <c r="BW8" s="27"/>
      <c r="BX8" s="27"/>
      <c r="BY8" s="27"/>
      <c r="BZ8" s="27"/>
      <c r="CA8" s="27">
        <v>47</v>
      </c>
      <c r="CB8" s="17"/>
    </row>
    <row r="9" spans="1:80" s="10" customFormat="1" ht="14" x14ac:dyDescent="0.15">
      <c r="A9" s="2" t="s">
        <v>4</v>
      </c>
      <c r="B9" s="2" t="s">
        <v>145</v>
      </c>
      <c r="C9" s="2" t="s">
        <v>149</v>
      </c>
      <c r="D9" s="2">
        <v>8</v>
      </c>
      <c r="E9" s="2" t="str">
        <f t="shared" si="0"/>
        <v>s1t1p8</v>
      </c>
      <c r="F9" s="2">
        <v>70</v>
      </c>
      <c r="G9" s="2"/>
      <c r="H9" s="2"/>
      <c r="I9" s="11">
        <v>0.41414700000000004</v>
      </c>
      <c r="J9" s="11"/>
      <c r="K9" s="22">
        <v>40787</v>
      </c>
      <c r="L9" s="23">
        <f t="shared" si="1"/>
        <v>100</v>
      </c>
      <c r="M9" s="24">
        <v>83</v>
      </c>
      <c r="N9" s="24"/>
      <c r="O9" s="23"/>
      <c r="P9" s="23"/>
      <c r="Q9" s="23"/>
      <c r="R9" s="23"/>
      <c r="S9" s="25"/>
      <c r="T9" s="25"/>
      <c r="U9" s="25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>
        <v>17</v>
      </c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7">
        <v>83</v>
      </c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>
        <v>38</v>
      </c>
      <c r="BV9" s="27"/>
      <c r="BW9" s="27"/>
      <c r="BX9" s="27"/>
      <c r="BY9" s="27"/>
      <c r="BZ9" s="27"/>
      <c r="CA9" s="27">
        <v>31</v>
      </c>
      <c r="CB9" s="17"/>
    </row>
    <row r="10" spans="1:80" s="10" customFormat="1" ht="14" x14ac:dyDescent="0.15">
      <c r="A10" s="2" t="s">
        <v>4</v>
      </c>
      <c r="B10" s="2" t="s">
        <v>145</v>
      </c>
      <c r="C10" s="2" t="s">
        <v>149</v>
      </c>
      <c r="D10" s="2">
        <v>9</v>
      </c>
      <c r="E10" s="2" t="str">
        <f t="shared" si="0"/>
        <v>s1t1p9</v>
      </c>
      <c r="F10" s="2">
        <v>80</v>
      </c>
      <c r="G10" s="2"/>
      <c r="H10" s="2"/>
      <c r="I10" s="11">
        <v>0.74637900000000001</v>
      </c>
      <c r="J10" s="11"/>
      <c r="K10" s="22">
        <v>40786</v>
      </c>
      <c r="L10" s="23">
        <f t="shared" si="1"/>
        <v>100</v>
      </c>
      <c r="M10" s="24">
        <v>4</v>
      </c>
      <c r="N10" s="24">
        <v>15</v>
      </c>
      <c r="O10" s="23">
        <v>15</v>
      </c>
      <c r="P10" s="23"/>
      <c r="Q10" s="23"/>
      <c r="R10" s="23"/>
      <c r="S10" s="25"/>
      <c r="T10" s="25"/>
      <c r="U10" s="25"/>
      <c r="V10" s="26">
        <v>5</v>
      </c>
      <c r="W10" s="26"/>
      <c r="X10" s="26"/>
      <c r="Y10" s="26"/>
      <c r="Z10" s="26"/>
      <c r="AA10" s="26">
        <v>5</v>
      </c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>
        <v>3</v>
      </c>
      <c r="AR10" s="26"/>
      <c r="AS10" s="26"/>
      <c r="AT10" s="26"/>
      <c r="AU10" s="26"/>
      <c r="AV10" s="26">
        <v>44</v>
      </c>
      <c r="AW10" s="26"/>
      <c r="AX10" s="26">
        <v>8</v>
      </c>
      <c r="AY10" s="26"/>
      <c r="AZ10" s="26">
        <v>1</v>
      </c>
      <c r="BA10" s="26"/>
      <c r="BB10" s="26"/>
      <c r="BC10" s="26"/>
      <c r="BD10" s="26"/>
      <c r="BE10" s="26"/>
      <c r="BF10" s="26"/>
      <c r="BG10" s="26"/>
      <c r="BH10" s="26"/>
      <c r="BI10" s="27"/>
      <c r="BJ10" s="27">
        <v>25</v>
      </c>
      <c r="BK10" s="27"/>
      <c r="BL10" s="27"/>
      <c r="BM10" s="27"/>
      <c r="BN10" s="27"/>
      <c r="BO10" s="27"/>
      <c r="BP10" s="27"/>
      <c r="BQ10" s="27">
        <v>5</v>
      </c>
      <c r="BR10" s="27"/>
      <c r="BS10" s="27"/>
      <c r="BT10" s="27"/>
      <c r="BU10" s="27">
        <v>11</v>
      </c>
      <c r="BV10" s="27">
        <v>1</v>
      </c>
      <c r="BW10" s="27"/>
      <c r="BX10" s="27"/>
      <c r="BY10" s="27"/>
      <c r="BZ10" s="27"/>
      <c r="CA10" s="27">
        <v>44</v>
      </c>
      <c r="CB10" s="17"/>
    </row>
    <row r="11" spans="1:80" s="10" customFormat="1" ht="14" x14ac:dyDescent="0.15">
      <c r="A11" s="2" t="s">
        <v>4</v>
      </c>
      <c r="B11" s="2" t="s">
        <v>145</v>
      </c>
      <c r="C11" s="2" t="s">
        <v>148</v>
      </c>
      <c r="D11" s="2">
        <v>1</v>
      </c>
      <c r="E11" s="2" t="str">
        <f t="shared" si="0"/>
        <v>s1t2p1</v>
      </c>
      <c r="F11" s="2">
        <v>0</v>
      </c>
      <c r="G11" s="2"/>
      <c r="H11" s="2"/>
      <c r="I11" s="11">
        <v>0.41353740000000011</v>
      </c>
      <c r="J11" s="11"/>
      <c r="K11" s="22">
        <v>40787</v>
      </c>
      <c r="L11" s="23">
        <f t="shared" si="1"/>
        <v>100</v>
      </c>
      <c r="M11" s="24">
        <v>10</v>
      </c>
      <c r="N11" s="24">
        <v>3</v>
      </c>
      <c r="O11" s="23">
        <v>5.5</v>
      </c>
      <c r="P11" s="23"/>
      <c r="Q11" s="23"/>
      <c r="R11" s="23"/>
      <c r="S11" s="25"/>
      <c r="T11" s="25"/>
      <c r="U11" s="25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>
        <v>81.5</v>
      </c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7">
        <v>4</v>
      </c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>
        <v>119</v>
      </c>
      <c r="BV11" s="27"/>
      <c r="BW11" s="27"/>
      <c r="BX11" s="27"/>
      <c r="BY11" s="27"/>
      <c r="BZ11" s="27"/>
      <c r="CA11" s="27"/>
      <c r="CB11" s="17"/>
    </row>
    <row r="12" spans="1:80" s="10" customFormat="1" ht="14" x14ac:dyDescent="0.15">
      <c r="A12" s="2" t="s">
        <v>4</v>
      </c>
      <c r="B12" s="2" t="s">
        <v>145</v>
      </c>
      <c r="C12" s="2" t="s">
        <v>148</v>
      </c>
      <c r="D12" s="2">
        <v>2</v>
      </c>
      <c r="E12" s="2" t="str">
        <f t="shared" si="0"/>
        <v>s1t2p2</v>
      </c>
      <c r="F12" s="2">
        <v>10</v>
      </c>
      <c r="G12" s="2"/>
      <c r="H12" s="2"/>
      <c r="I12" s="11">
        <v>0.58293000000000006</v>
      </c>
      <c r="J12" s="11"/>
      <c r="K12" s="22">
        <v>40787</v>
      </c>
      <c r="L12" s="23">
        <f t="shared" si="1"/>
        <v>100</v>
      </c>
      <c r="M12" s="24">
        <v>2</v>
      </c>
      <c r="N12" s="24">
        <v>1</v>
      </c>
      <c r="O12" s="23"/>
      <c r="P12" s="23"/>
      <c r="Q12" s="23"/>
      <c r="R12" s="23"/>
      <c r="S12" s="25"/>
      <c r="T12" s="25"/>
      <c r="U12" s="25"/>
      <c r="V12" s="26"/>
      <c r="W12" s="26"/>
      <c r="X12" s="26"/>
      <c r="Y12" s="26"/>
      <c r="Z12" s="26"/>
      <c r="AA12" s="26"/>
      <c r="AB12" s="26"/>
      <c r="AC12" s="26"/>
      <c r="AD12" s="26">
        <v>0.5</v>
      </c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>
        <v>2</v>
      </c>
      <c r="AQ12" s="26">
        <v>5</v>
      </c>
      <c r="AR12" s="26"/>
      <c r="AS12" s="26"/>
      <c r="AT12" s="26"/>
      <c r="AU12" s="26"/>
      <c r="AV12" s="26">
        <v>79.5</v>
      </c>
      <c r="AW12" s="26"/>
      <c r="AX12" s="26">
        <v>10</v>
      </c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>
        <v>134</v>
      </c>
      <c r="BV12" s="27">
        <v>3</v>
      </c>
      <c r="BW12" s="27"/>
      <c r="BX12" s="27"/>
      <c r="BY12" s="27"/>
      <c r="BZ12" s="27"/>
      <c r="CA12" s="27">
        <v>30</v>
      </c>
      <c r="CB12" s="17"/>
    </row>
    <row r="13" spans="1:80" s="10" customFormat="1" ht="14" x14ac:dyDescent="0.15">
      <c r="A13" s="2" t="s">
        <v>4</v>
      </c>
      <c r="B13" s="2" t="s">
        <v>145</v>
      </c>
      <c r="C13" s="2" t="s">
        <v>148</v>
      </c>
      <c r="D13" s="2">
        <v>3</v>
      </c>
      <c r="E13" s="2" t="str">
        <f t="shared" si="0"/>
        <v>s1t2p3</v>
      </c>
      <c r="F13" s="2">
        <v>20</v>
      </c>
      <c r="G13" s="2"/>
      <c r="H13" s="2"/>
      <c r="I13" s="11">
        <v>0.60464700000000005</v>
      </c>
      <c r="J13" s="11"/>
      <c r="K13" s="22">
        <v>40787</v>
      </c>
      <c r="L13" s="23">
        <f t="shared" si="1"/>
        <v>100</v>
      </c>
      <c r="M13" s="24">
        <v>1</v>
      </c>
      <c r="N13" s="24">
        <v>15</v>
      </c>
      <c r="O13" s="23"/>
      <c r="P13" s="23"/>
      <c r="Q13" s="23"/>
      <c r="R13" s="23"/>
      <c r="S13" s="25"/>
      <c r="T13" s="25"/>
      <c r="U13" s="25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>
        <v>8</v>
      </c>
      <c r="AQ13" s="26"/>
      <c r="AR13" s="26"/>
      <c r="AS13" s="26"/>
      <c r="AT13" s="26"/>
      <c r="AU13" s="26"/>
      <c r="AV13" s="26">
        <v>75</v>
      </c>
      <c r="AW13" s="26"/>
      <c r="AX13" s="26">
        <v>1</v>
      </c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>
        <v>145</v>
      </c>
      <c r="BV13" s="27">
        <v>0</v>
      </c>
      <c r="BW13" s="27"/>
      <c r="BX13" s="27"/>
      <c r="BY13" s="27"/>
      <c r="BZ13" s="27"/>
      <c r="CA13" s="27">
        <v>37</v>
      </c>
      <c r="CB13" s="17"/>
    </row>
    <row r="14" spans="1:80" s="10" customFormat="1" ht="14" x14ac:dyDescent="0.15">
      <c r="A14" s="2" t="s">
        <v>4</v>
      </c>
      <c r="B14" s="2" t="s">
        <v>145</v>
      </c>
      <c r="C14" s="2" t="s">
        <v>148</v>
      </c>
      <c r="D14" s="2">
        <v>4</v>
      </c>
      <c r="E14" s="2" t="str">
        <f t="shared" si="0"/>
        <v>s1t2p4</v>
      </c>
      <c r="F14" s="2">
        <v>30</v>
      </c>
      <c r="G14" s="2"/>
      <c r="H14" s="2"/>
      <c r="I14" s="11">
        <v>0.62293499999999991</v>
      </c>
      <c r="J14" s="11"/>
      <c r="K14" s="22">
        <v>40787</v>
      </c>
      <c r="L14" s="23">
        <f t="shared" si="1"/>
        <v>100</v>
      </c>
      <c r="M14" s="24">
        <v>2</v>
      </c>
      <c r="N14" s="24">
        <v>20</v>
      </c>
      <c r="O14" s="23"/>
      <c r="P14" s="23"/>
      <c r="Q14" s="23"/>
      <c r="R14" s="23"/>
      <c r="S14" s="25"/>
      <c r="T14" s="25"/>
      <c r="U14" s="25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>
        <v>1</v>
      </c>
      <c r="AQ14" s="26">
        <v>0.5</v>
      </c>
      <c r="AR14" s="26"/>
      <c r="AS14" s="26"/>
      <c r="AT14" s="26"/>
      <c r="AU14" s="26"/>
      <c r="AV14" s="26">
        <v>76.5</v>
      </c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>
        <v>100</v>
      </c>
      <c r="BV14" s="27"/>
      <c r="BW14" s="27"/>
      <c r="BX14" s="27"/>
      <c r="BY14" s="27"/>
      <c r="BZ14" s="27"/>
      <c r="CA14" s="27">
        <v>35</v>
      </c>
      <c r="CB14" s="17"/>
    </row>
    <row r="15" spans="1:80" s="10" customFormat="1" ht="14" x14ac:dyDescent="0.15">
      <c r="A15" s="2" t="s">
        <v>4</v>
      </c>
      <c r="B15" s="2" t="s">
        <v>145</v>
      </c>
      <c r="C15" s="2" t="s">
        <v>148</v>
      </c>
      <c r="D15" s="2">
        <v>5</v>
      </c>
      <c r="E15" s="2" t="str">
        <f t="shared" si="0"/>
        <v>s1t2p5</v>
      </c>
      <c r="F15" s="2">
        <v>40</v>
      </c>
      <c r="G15" s="2"/>
      <c r="H15" s="2"/>
      <c r="I15" s="11">
        <v>0.38328599999999996</v>
      </c>
      <c r="J15" s="11"/>
      <c r="K15" s="22">
        <v>40787</v>
      </c>
      <c r="L15" s="23">
        <f t="shared" si="1"/>
        <v>100</v>
      </c>
      <c r="M15" s="24">
        <v>65</v>
      </c>
      <c r="N15" s="24">
        <v>5</v>
      </c>
      <c r="O15" s="23"/>
      <c r="P15" s="23"/>
      <c r="Q15" s="23"/>
      <c r="R15" s="23"/>
      <c r="S15" s="25"/>
      <c r="T15" s="25"/>
      <c r="U15" s="25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>
        <v>30</v>
      </c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7">
        <v>62</v>
      </c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>
        <v>41</v>
      </c>
      <c r="BV15" s="27"/>
      <c r="BW15" s="27"/>
      <c r="BX15" s="27"/>
      <c r="BY15" s="27"/>
      <c r="BZ15" s="27"/>
      <c r="CA15" s="27">
        <v>64</v>
      </c>
      <c r="CB15" s="17"/>
    </row>
    <row r="16" spans="1:80" s="10" customFormat="1" ht="14" x14ac:dyDescent="0.15">
      <c r="A16" s="2" t="s">
        <v>4</v>
      </c>
      <c r="B16" s="2" t="s">
        <v>145</v>
      </c>
      <c r="C16" s="2" t="s">
        <v>148</v>
      </c>
      <c r="D16" s="2">
        <v>6</v>
      </c>
      <c r="E16" s="2" t="str">
        <f t="shared" si="0"/>
        <v>s1t2p6</v>
      </c>
      <c r="F16" s="2">
        <v>50</v>
      </c>
      <c r="G16" s="2"/>
      <c r="H16" s="2"/>
      <c r="I16" s="11">
        <v>0.16192499999999987</v>
      </c>
      <c r="J16" s="11"/>
      <c r="K16" s="22">
        <v>40787</v>
      </c>
      <c r="L16" s="23">
        <f t="shared" si="1"/>
        <v>100</v>
      </c>
      <c r="M16" s="24">
        <v>99</v>
      </c>
      <c r="N16" s="24"/>
      <c r="O16" s="23"/>
      <c r="P16" s="23">
        <v>1</v>
      </c>
      <c r="Q16" s="23"/>
      <c r="R16" s="23"/>
      <c r="S16" s="25"/>
      <c r="T16" s="25"/>
      <c r="U16" s="25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7">
        <v>100</v>
      </c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17"/>
    </row>
    <row r="17" spans="1:80" s="10" customFormat="1" ht="14" x14ac:dyDescent="0.15">
      <c r="A17" s="2" t="s">
        <v>4</v>
      </c>
      <c r="B17" s="2" t="s">
        <v>145</v>
      </c>
      <c r="C17" s="2" t="s">
        <v>148</v>
      </c>
      <c r="D17" s="2">
        <v>7</v>
      </c>
      <c r="E17" s="2" t="str">
        <f t="shared" si="0"/>
        <v>s1t2p7</v>
      </c>
      <c r="F17" s="2">
        <v>60</v>
      </c>
      <c r="G17" s="2"/>
      <c r="H17" s="2"/>
      <c r="I17" s="11">
        <v>0.33337499999999987</v>
      </c>
      <c r="J17" s="11"/>
      <c r="K17" s="22">
        <v>40795</v>
      </c>
      <c r="L17" s="23">
        <f t="shared" si="1"/>
        <v>100</v>
      </c>
      <c r="M17" s="24">
        <v>27</v>
      </c>
      <c r="N17" s="24">
        <v>5</v>
      </c>
      <c r="O17" s="23"/>
      <c r="P17" s="23"/>
      <c r="Q17" s="23"/>
      <c r="R17" s="23"/>
      <c r="S17" s="25"/>
      <c r="T17" s="25"/>
      <c r="U17" s="25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>
        <v>68</v>
      </c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7">
        <v>20</v>
      </c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>
        <v>84</v>
      </c>
      <c r="BV17" s="27"/>
      <c r="BW17" s="27"/>
      <c r="BX17" s="27"/>
      <c r="BY17" s="27"/>
      <c r="BZ17" s="27"/>
      <c r="CA17" s="27">
        <v>68</v>
      </c>
      <c r="CB17" s="17"/>
    </row>
    <row r="18" spans="1:80" s="10" customFormat="1" ht="14" x14ac:dyDescent="0.15">
      <c r="A18" s="2" t="s">
        <v>4</v>
      </c>
      <c r="B18" s="2" t="s">
        <v>145</v>
      </c>
      <c r="C18" s="2" t="s">
        <v>148</v>
      </c>
      <c r="D18" s="2">
        <v>8</v>
      </c>
      <c r="E18" s="2" t="str">
        <f t="shared" si="0"/>
        <v>s1t2p8</v>
      </c>
      <c r="F18" s="2">
        <v>70</v>
      </c>
      <c r="G18" s="2"/>
      <c r="H18" s="2"/>
      <c r="I18" s="11">
        <v>0.27736799999999995</v>
      </c>
      <c r="J18" s="11"/>
      <c r="K18" s="22">
        <v>40795</v>
      </c>
      <c r="L18" s="23">
        <f t="shared" si="1"/>
        <v>100</v>
      </c>
      <c r="M18" s="24">
        <v>65</v>
      </c>
      <c r="N18" s="24">
        <v>10</v>
      </c>
      <c r="O18" s="23"/>
      <c r="P18" s="23"/>
      <c r="Q18" s="23"/>
      <c r="R18" s="23">
        <v>5</v>
      </c>
      <c r="S18" s="25"/>
      <c r="T18" s="25"/>
      <c r="U18" s="25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>
        <v>20</v>
      </c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7">
        <v>100</v>
      </c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>
        <v>0</v>
      </c>
      <c r="BV18" s="27"/>
      <c r="BW18" s="27"/>
      <c r="BX18" s="27"/>
      <c r="BY18" s="27"/>
      <c r="BZ18" s="27"/>
      <c r="CA18" s="27"/>
      <c r="CB18" s="17"/>
    </row>
    <row r="19" spans="1:80" s="10" customFormat="1" ht="14" x14ac:dyDescent="0.15">
      <c r="A19" s="2" t="s">
        <v>4</v>
      </c>
      <c r="B19" s="2" t="s">
        <v>145</v>
      </c>
      <c r="C19" s="2" t="s">
        <v>148</v>
      </c>
      <c r="D19" s="2">
        <v>9</v>
      </c>
      <c r="E19" s="2" t="str">
        <f t="shared" si="0"/>
        <v>s1t2p9</v>
      </c>
      <c r="F19" s="2">
        <v>80</v>
      </c>
      <c r="G19" s="2"/>
      <c r="H19" s="2"/>
      <c r="I19" s="11">
        <v>0.47853599999999996</v>
      </c>
      <c r="J19" s="11"/>
      <c r="K19" s="22">
        <v>40795</v>
      </c>
      <c r="L19" s="23">
        <f t="shared" si="1"/>
        <v>100</v>
      </c>
      <c r="M19" s="24">
        <v>10</v>
      </c>
      <c r="N19" s="24">
        <v>5</v>
      </c>
      <c r="O19" s="23"/>
      <c r="P19" s="23"/>
      <c r="Q19" s="23"/>
      <c r="R19" s="23"/>
      <c r="S19" s="25"/>
      <c r="T19" s="25"/>
      <c r="U19" s="25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>
        <v>85</v>
      </c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7">
        <v>15</v>
      </c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>
        <v>104</v>
      </c>
      <c r="BV19" s="27"/>
      <c r="BW19" s="27"/>
      <c r="BX19" s="27"/>
      <c r="BY19" s="27"/>
      <c r="BZ19" s="27"/>
      <c r="CA19" s="27">
        <v>54</v>
      </c>
      <c r="CB19" s="17"/>
    </row>
    <row r="20" spans="1:80" s="10" customFormat="1" ht="14" x14ac:dyDescent="0.15">
      <c r="A20" s="2" t="s">
        <v>4</v>
      </c>
      <c r="B20" s="2" t="s">
        <v>145</v>
      </c>
      <c r="C20" s="2" t="s">
        <v>148</v>
      </c>
      <c r="D20" s="2">
        <v>10</v>
      </c>
      <c r="E20" s="2" t="str">
        <f t="shared" si="0"/>
        <v>s1t2p10</v>
      </c>
      <c r="F20" s="2">
        <v>90</v>
      </c>
      <c r="G20" s="2"/>
      <c r="H20" s="2"/>
      <c r="I20" s="11">
        <v>0.42100500000000007</v>
      </c>
      <c r="J20" s="11"/>
      <c r="K20" s="22">
        <v>40787</v>
      </c>
      <c r="L20" s="23">
        <f t="shared" si="1"/>
        <v>100</v>
      </c>
      <c r="M20" s="24">
        <f>32/90.5*100</f>
        <v>35.359116022099442</v>
      </c>
      <c r="N20" s="24">
        <f>3/90.5*100</f>
        <v>3.3149171270718232</v>
      </c>
      <c r="O20" s="23"/>
      <c r="P20" s="23"/>
      <c r="Q20" s="23"/>
      <c r="R20" s="23"/>
      <c r="S20" s="25"/>
      <c r="T20" s="25"/>
      <c r="U20" s="25"/>
      <c r="V20" s="26"/>
      <c r="W20" s="26"/>
      <c r="X20" s="26"/>
      <c r="Y20" s="26"/>
      <c r="Z20" s="26"/>
      <c r="AA20" s="26"/>
      <c r="AB20" s="26"/>
      <c r="AC20" s="26"/>
      <c r="AD20" s="26">
        <f>0.5/90.5*100</f>
        <v>0.55248618784530379</v>
      </c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>
        <f>55/90.5*100</f>
        <v>60.773480662983424</v>
      </c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7">
        <v>30</v>
      </c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>
        <v>103</v>
      </c>
      <c r="BV20" s="27"/>
      <c r="BW20" s="27"/>
      <c r="BX20" s="27"/>
      <c r="BY20" s="27"/>
      <c r="BZ20" s="27"/>
      <c r="CA20" s="27">
        <v>51</v>
      </c>
      <c r="CB20" s="17"/>
    </row>
    <row r="21" spans="1:80" s="10" customFormat="1" ht="14" x14ac:dyDescent="0.15">
      <c r="A21" s="2" t="s">
        <v>4</v>
      </c>
      <c r="B21" s="2" t="s">
        <v>145</v>
      </c>
      <c r="C21" s="2" t="s">
        <v>148</v>
      </c>
      <c r="D21" s="2">
        <v>11</v>
      </c>
      <c r="E21" s="2" t="str">
        <f t="shared" si="0"/>
        <v>s1t2p11</v>
      </c>
      <c r="F21" s="2">
        <v>100</v>
      </c>
      <c r="G21" s="2"/>
      <c r="H21" s="2"/>
      <c r="I21" s="11">
        <v>0.44272200000000006</v>
      </c>
      <c r="J21" s="11"/>
      <c r="K21" s="22">
        <v>40787</v>
      </c>
      <c r="L21" s="23">
        <f t="shared" si="1"/>
        <v>105</v>
      </c>
      <c r="M21" s="24">
        <v>55</v>
      </c>
      <c r="N21" s="24">
        <v>5</v>
      </c>
      <c r="O21" s="23"/>
      <c r="P21" s="23"/>
      <c r="Q21" s="23"/>
      <c r="R21" s="23"/>
      <c r="S21" s="25"/>
      <c r="T21" s="25"/>
      <c r="U21" s="25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>
        <v>45</v>
      </c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7">
        <v>35</v>
      </c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>
        <v>42</v>
      </c>
      <c r="BV21" s="27"/>
      <c r="BW21" s="27"/>
      <c r="BX21" s="27"/>
      <c r="BY21" s="27"/>
      <c r="BZ21" s="27"/>
      <c r="CA21" s="27">
        <v>56</v>
      </c>
      <c r="CB21" s="17"/>
    </row>
    <row r="22" spans="1:80" s="10" customFormat="1" ht="14" x14ac:dyDescent="0.15">
      <c r="A22" s="2" t="s">
        <v>4</v>
      </c>
      <c r="B22" s="2" t="s">
        <v>145</v>
      </c>
      <c r="C22" s="2" t="s">
        <v>148</v>
      </c>
      <c r="D22" s="2">
        <v>12</v>
      </c>
      <c r="E22" s="2" t="str">
        <f t="shared" si="0"/>
        <v>s1t2p12</v>
      </c>
      <c r="F22" s="2">
        <v>110</v>
      </c>
      <c r="G22" s="2"/>
      <c r="H22" s="2"/>
      <c r="I22" s="11">
        <v>0.49415699999999985</v>
      </c>
      <c r="J22" s="11"/>
      <c r="K22" s="22">
        <v>40787</v>
      </c>
      <c r="L22" s="23">
        <f t="shared" si="1"/>
        <v>100</v>
      </c>
      <c r="M22" s="24">
        <v>100</v>
      </c>
      <c r="N22" s="24"/>
      <c r="O22" s="23"/>
      <c r="P22" s="23"/>
      <c r="Q22" s="23"/>
      <c r="R22" s="23"/>
      <c r="S22" s="25"/>
      <c r="T22" s="25"/>
      <c r="U22" s="25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7">
        <v>100</v>
      </c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17"/>
    </row>
    <row r="23" spans="1:80" s="10" customFormat="1" ht="14" x14ac:dyDescent="0.15">
      <c r="A23" s="2" t="s">
        <v>4</v>
      </c>
      <c r="B23" s="2" t="s">
        <v>145</v>
      </c>
      <c r="C23" s="2" t="s">
        <v>148</v>
      </c>
      <c r="D23" s="2">
        <v>13</v>
      </c>
      <c r="E23" s="2" t="str">
        <f t="shared" si="0"/>
        <v>s1t2p13</v>
      </c>
      <c r="F23" s="2">
        <v>120</v>
      </c>
      <c r="G23" s="2"/>
      <c r="H23" s="2"/>
      <c r="I23" s="11">
        <v>0.88277699999999992</v>
      </c>
      <c r="J23" s="11"/>
      <c r="K23" s="22">
        <v>40786</v>
      </c>
      <c r="L23" s="23">
        <f t="shared" si="1"/>
        <v>100</v>
      </c>
      <c r="M23" s="23">
        <v>0.5</v>
      </c>
      <c r="N23" s="24">
        <v>5</v>
      </c>
      <c r="O23" s="23"/>
      <c r="P23" s="23"/>
      <c r="Q23" s="23"/>
      <c r="R23" s="23"/>
      <c r="S23" s="25"/>
      <c r="T23" s="25"/>
      <c r="U23" s="25"/>
      <c r="V23" s="26">
        <v>4</v>
      </c>
      <c r="W23" s="26"/>
      <c r="X23" s="26"/>
      <c r="Y23" s="26"/>
      <c r="Z23" s="26"/>
      <c r="AA23" s="26">
        <v>44.5</v>
      </c>
      <c r="AB23" s="26">
        <v>12</v>
      </c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>
        <v>8</v>
      </c>
      <c r="AW23" s="26"/>
      <c r="AX23" s="26">
        <v>26</v>
      </c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7"/>
      <c r="BJ23" s="27"/>
      <c r="BK23" s="27"/>
      <c r="BL23" s="27"/>
      <c r="BM23" s="27"/>
      <c r="BN23" s="27"/>
      <c r="BO23" s="27"/>
      <c r="BP23" s="27"/>
      <c r="BQ23" s="27">
        <v>2</v>
      </c>
      <c r="BR23" s="27">
        <v>1</v>
      </c>
      <c r="BS23" s="27"/>
      <c r="BT23" s="27"/>
      <c r="BU23" s="27">
        <v>3</v>
      </c>
      <c r="BV23" s="27">
        <v>15</v>
      </c>
      <c r="BW23" s="27"/>
      <c r="BX23" s="27">
        <v>75</v>
      </c>
      <c r="BY23" s="27"/>
      <c r="BZ23" s="27"/>
      <c r="CA23" s="27">
        <v>58</v>
      </c>
      <c r="CB23" s="17"/>
    </row>
    <row r="24" spans="1:80" s="10" customFormat="1" ht="14" x14ac:dyDescent="0.15">
      <c r="A24" s="2" t="s">
        <v>4</v>
      </c>
      <c r="B24" s="2" t="s">
        <v>145</v>
      </c>
      <c r="C24" s="2" t="s">
        <v>146</v>
      </c>
      <c r="D24" s="2">
        <v>1</v>
      </c>
      <c r="E24" s="2" t="str">
        <f t="shared" si="0"/>
        <v>s1t3p1</v>
      </c>
      <c r="F24" s="2">
        <v>0</v>
      </c>
      <c r="G24" s="2"/>
      <c r="H24" s="2"/>
      <c r="I24" s="11">
        <v>0.40690800000000016</v>
      </c>
      <c r="J24" s="11"/>
      <c r="K24" s="22">
        <v>40795</v>
      </c>
      <c r="L24" s="23">
        <f t="shared" si="1"/>
        <v>100</v>
      </c>
      <c r="M24" s="24">
        <v>25</v>
      </c>
      <c r="N24" s="24">
        <v>2</v>
      </c>
      <c r="O24" s="23"/>
      <c r="P24" s="23"/>
      <c r="Q24" s="23"/>
      <c r="R24" s="23"/>
      <c r="S24" s="25"/>
      <c r="T24" s="25"/>
      <c r="U24" s="25"/>
      <c r="V24" s="26"/>
      <c r="W24" s="26"/>
      <c r="X24" s="26"/>
      <c r="Y24" s="26"/>
      <c r="Z24" s="26"/>
      <c r="AA24" s="26"/>
      <c r="AB24" s="26"/>
      <c r="AC24" s="26"/>
      <c r="AD24" s="26">
        <v>5</v>
      </c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>
        <v>2</v>
      </c>
      <c r="AR24" s="26"/>
      <c r="AS24" s="26"/>
      <c r="AT24" s="26"/>
      <c r="AU24" s="26"/>
      <c r="AV24" s="26">
        <v>64</v>
      </c>
      <c r="AW24" s="26"/>
      <c r="AX24" s="26">
        <v>2</v>
      </c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>
        <v>59</v>
      </c>
      <c r="BV24" s="27">
        <v>4</v>
      </c>
      <c r="BW24" s="27"/>
      <c r="BX24" s="27"/>
      <c r="BY24" s="27"/>
      <c r="BZ24" s="27"/>
      <c r="CA24" s="27">
        <v>60</v>
      </c>
      <c r="CB24" s="17"/>
    </row>
    <row r="25" spans="1:80" s="10" customFormat="1" ht="14" x14ac:dyDescent="0.15">
      <c r="A25" s="2" t="s">
        <v>4</v>
      </c>
      <c r="B25" s="2" t="s">
        <v>145</v>
      </c>
      <c r="C25" s="2" t="s">
        <v>146</v>
      </c>
      <c r="D25" s="2">
        <v>2</v>
      </c>
      <c r="E25" s="2" t="str">
        <f t="shared" si="0"/>
        <v>s1t3p2</v>
      </c>
      <c r="F25" s="2">
        <v>10</v>
      </c>
      <c r="G25" s="2"/>
      <c r="H25" s="2"/>
      <c r="I25" s="11">
        <v>0.55206899999999992</v>
      </c>
      <c r="J25" s="11"/>
      <c r="K25" s="22">
        <v>40787</v>
      </c>
      <c r="L25" s="23">
        <f t="shared" si="1"/>
        <v>100</v>
      </c>
      <c r="M25" s="24">
        <v>8</v>
      </c>
      <c r="N25" s="24">
        <v>10</v>
      </c>
      <c r="O25" s="23"/>
      <c r="P25" s="23"/>
      <c r="Q25" s="23"/>
      <c r="R25" s="23"/>
      <c r="S25" s="25"/>
      <c r="T25" s="25"/>
      <c r="U25" s="25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>
        <v>82</v>
      </c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>
        <v>117</v>
      </c>
      <c r="BV25" s="27"/>
      <c r="BW25" s="27"/>
      <c r="BX25" s="27"/>
      <c r="BY25" s="27"/>
      <c r="BZ25" s="27"/>
      <c r="CA25" s="27">
        <v>55</v>
      </c>
      <c r="CB25" s="17"/>
    </row>
    <row r="26" spans="1:80" s="10" customFormat="1" ht="14" x14ac:dyDescent="0.15">
      <c r="A26" s="2" t="s">
        <v>4</v>
      </c>
      <c r="B26" s="2" t="s">
        <v>145</v>
      </c>
      <c r="C26" s="2" t="s">
        <v>146</v>
      </c>
      <c r="D26" s="2">
        <v>3</v>
      </c>
      <c r="E26" s="2" t="str">
        <f t="shared" si="0"/>
        <v>s1t3p3</v>
      </c>
      <c r="F26" s="2">
        <v>20</v>
      </c>
      <c r="G26" s="2"/>
      <c r="H26" s="2"/>
      <c r="I26" s="11">
        <v>0.39166799999999991</v>
      </c>
      <c r="J26" s="11"/>
      <c r="K26" s="22">
        <v>40787</v>
      </c>
      <c r="L26" s="23">
        <f t="shared" si="1"/>
        <v>100</v>
      </c>
      <c r="M26" s="24">
        <v>31</v>
      </c>
      <c r="N26" s="24">
        <v>3</v>
      </c>
      <c r="O26" s="23"/>
      <c r="P26" s="23">
        <v>20</v>
      </c>
      <c r="Q26" s="23"/>
      <c r="R26" s="23"/>
      <c r="S26" s="25"/>
      <c r="T26" s="25"/>
      <c r="U26" s="25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>
        <v>46</v>
      </c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7">
        <v>65</v>
      </c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>
        <v>0</v>
      </c>
      <c r="BV26" s="27"/>
      <c r="BW26" s="27"/>
      <c r="BX26" s="27"/>
      <c r="BY26" s="27"/>
      <c r="BZ26" s="27"/>
      <c r="CA26" s="27">
        <v>43</v>
      </c>
      <c r="CB26" s="17"/>
    </row>
    <row r="27" spans="1:80" s="10" customFormat="1" ht="14" x14ac:dyDescent="0.15">
      <c r="A27" s="2" t="s">
        <v>4</v>
      </c>
      <c r="B27" s="2" t="s">
        <v>145</v>
      </c>
      <c r="C27" s="2" t="s">
        <v>146</v>
      </c>
      <c r="D27" s="2">
        <v>4</v>
      </c>
      <c r="E27" s="2" t="str">
        <f t="shared" si="0"/>
        <v>s1t3p4</v>
      </c>
      <c r="F27" s="2">
        <v>30</v>
      </c>
      <c r="G27" s="2"/>
      <c r="H27" s="2"/>
      <c r="I27" s="11">
        <v>0.56959499999999996</v>
      </c>
      <c r="J27" s="11"/>
      <c r="K27" s="22">
        <v>40787</v>
      </c>
      <c r="L27" s="23">
        <f t="shared" si="1"/>
        <v>100</v>
      </c>
      <c r="M27" s="24">
        <v>12</v>
      </c>
      <c r="N27" s="24">
        <v>13</v>
      </c>
      <c r="O27" s="23"/>
      <c r="P27" s="23"/>
      <c r="Q27" s="23"/>
      <c r="R27" s="23"/>
      <c r="S27" s="25"/>
      <c r="T27" s="25"/>
      <c r="U27" s="25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>
        <v>75</v>
      </c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>
        <v>107</v>
      </c>
      <c r="BV27" s="27"/>
      <c r="BW27" s="27"/>
      <c r="BX27" s="27"/>
      <c r="BY27" s="27"/>
      <c r="BZ27" s="27"/>
      <c r="CA27" s="27">
        <v>40</v>
      </c>
      <c r="CB27" s="17"/>
    </row>
    <row r="28" spans="1:80" s="10" customFormat="1" ht="14" x14ac:dyDescent="0.15">
      <c r="A28" s="2" t="s">
        <v>4</v>
      </c>
      <c r="B28" s="2" t="s">
        <v>145</v>
      </c>
      <c r="C28" s="2" t="s">
        <v>146</v>
      </c>
      <c r="D28" s="2">
        <v>5</v>
      </c>
      <c r="E28" s="2" t="str">
        <f t="shared" si="0"/>
        <v>s1t3p5</v>
      </c>
      <c r="F28" s="2">
        <v>40</v>
      </c>
      <c r="G28" s="2"/>
      <c r="H28" s="2"/>
      <c r="I28" s="11">
        <v>0.55321200000000026</v>
      </c>
      <c r="J28" s="11"/>
      <c r="K28" s="22">
        <v>40787</v>
      </c>
      <c r="L28" s="23">
        <f t="shared" si="1"/>
        <v>100</v>
      </c>
      <c r="M28" s="24">
        <v>30</v>
      </c>
      <c r="N28" s="24">
        <v>6</v>
      </c>
      <c r="O28" s="23">
        <v>0.5</v>
      </c>
      <c r="P28" s="23">
        <v>10</v>
      </c>
      <c r="Q28" s="23"/>
      <c r="R28" s="23"/>
      <c r="S28" s="25"/>
      <c r="T28" s="25"/>
      <c r="U28" s="25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>
        <v>1</v>
      </c>
      <c r="AR28" s="26"/>
      <c r="AS28" s="26"/>
      <c r="AT28" s="26"/>
      <c r="AU28" s="26"/>
      <c r="AV28" s="26">
        <v>52.5</v>
      </c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>
        <v>74</v>
      </c>
      <c r="BV28" s="27"/>
      <c r="BW28" s="27"/>
      <c r="BX28" s="27"/>
      <c r="BY28" s="27"/>
      <c r="BZ28" s="27"/>
      <c r="CA28" s="27">
        <v>51</v>
      </c>
      <c r="CB28" s="17"/>
    </row>
    <row r="29" spans="1:80" s="10" customFormat="1" ht="14" x14ac:dyDescent="0.15">
      <c r="A29" s="2" t="s">
        <v>4</v>
      </c>
      <c r="B29" s="2" t="s">
        <v>145</v>
      </c>
      <c r="C29" s="2" t="s">
        <v>146</v>
      </c>
      <c r="D29" s="2">
        <v>6</v>
      </c>
      <c r="E29" s="2" t="str">
        <f t="shared" si="0"/>
        <v>s1t3p6</v>
      </c>
      <c r="F29" s="2">
        <v>50</v>
      </c>
      <c r="G29" s="2"/>
      <c r="H29" s="2"/>
      <c r="I29" s="11">
        <v>0.12153900000000019</v>
      </c>
      <c r="J29" s="11"/>
      <c r="K29" s="22">
        <v>40787</v>
      </c>
      <c r="L29" s="23">
        <f t="shared" si="1"/>
        <v>100</v>
      </c>
      <c r="M29" s="24">
        <v>98</v>
      </c>
      <c r="N29" s="24"/>
      <c r="O29" s="23"/>
      <c r="P29" s="23">
        <v>1</v>
      </c>
      <c r="Q29" s="23">
        <v>1</v>
      </c>
      <c r="R29" s="23"/>
      <c r="S29" s="25"/>
      <c r="T29" s="25"/>
      <c r="U29" s="25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7">
        <v>100</v>
      </c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17"/>
    </row>
    <row r="30" spans="1:80" s="10" customFormat="1" ht="14" x14ac:dyDescent="0.15">
      <c r="A30" s="2" t="s">
        <v>4</v>
      </c>
      <c r="B30" s="2" t="s">
        <v>145</v>
      </c>
      <c r="C30" s="2" t="s">
        <v>146</v>
      </c>
      <c r="D30" s="2">
        <v>7</v>
      </c>
      <c r="E30" s="2" t="str">
        <f t="shared" si="0"/>
        <v>s1t3p7</v>
      </c>
      <c r="F30" s="2">
        <v>60</v>
      </c>
      <c r="G30" s="2"/>
      <c r="H30" s="2"/>
      <c r="I30" s="11">
        <v>0.55168800000000007</v>
      </c>
      <c r="J30" s="11"/>
      <c r="K30" s="22">
        <v>40787</v>
      </c>
      <c r="L30" s="23">
        <f t="shared" si="1"/>
        <v>100</v>
      </c>
      <c r="M30" s="24">
        <v>10</v>
      </c>
      <c r="N30" s="24">
        <v>10</v>
      </c>
      <c r="O30" s="23"/>
      <c r="P30" s="23"/>
      <c r="Q30" s="23"/>
      <c r="R30" s="23"/>
      <c r="S30" s="25"/>
      <c r="T30" s="25"/>
      <c r="U30" s="25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>
        <v>80</v>
      </c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>
        <v>96</v>
      </c>
      <c r="BV30" s="27"/>
      <c r="BW30" s="27"/>
      <c r="BX30" s="27"/>
      <c r="BY30" s="27"/>
      <c r="BZ30" s="27"/>
      <c r="CA30" s="27">
        <v>58</v>
      </c>
      <c r="CB30" s="17"/>
    </row>
    <row r="31" spans="1:80" s="10" customFormat="1" ht="14" x14ac:dyDescent="0.15">
      <c r="A31" s="2" t="s">
        <v>4</v>
      </c>
      <c r="B31" s="2" t="s">
        <v>145</v>
      </c>
      <c r="C31" s="2" t="s">
        <v>146</v>
      </c>
      <c r="D31" s="2">
        <v>8</v>
      </c>
      <c r="E31" s="2" t="str">
        <f t="shared" si="0"/>
        <v>s1t3p8</v>
      </c>
      <c r="F31" s="2">
        <v>70</v>
      </c>
      <c r="G31" s="2"/>
      <c r="H31" s="2"/>
      <c r="I31" s="11">
        <v>0.13906499999999997</v>
      </c>
      <c r="J31" s="11"/>
      <c r="K31" s="22">
        <v>40787</v>
      </c>
      <c r="L31" s="23">
        <f t="shared" si="1"/>
        <v>100</v>
      </c>
      <c r="M31" s="24">
        <v>100</v>
      </c>
      <c r="N31" s="24"/>
      <c r="O31" s="23"/>
      <c r="P31" s="23"/>
      <c r="Q31" s="23"/>
      <c r="R31" s="23"/>
      <c r="S31" s="25"/>
      <c r="T31" s="25"/>
      <c r="U31" s="25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7">
        <v>100</v>
      </c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17"/>
    </row>
    <row r="32" spans="1:80" s="10" customFormat="1" ht="14" x14ac:dyDescent="0.15">
      <c r="A32" s="2" t="s">
        <v>4</v>
      </c>
      <c r="B32" s="2" t="s">
        <v>145</v>
      </c>
      <c r="C32" s="2" t="s">
        <v>146</v>
      </c>
      <c r="D32" s="2">
        <v>9</v>
      </c>
      <c r="E32" s="2" t="str">
        <f t="shared" si="0"/>
        <v>s1t3p9</v>
      </c>
      <c r="F32" s="2">
        <v>80</v>
      </c>
      <c r="G32" s="2"/>
      <c r="H32" s="2"/>
      <c r="I32" s="11">
        <v>0.63207900000000006</v>
      </c>
      <c r="J32" s="11"/>
      <c r="K32" s="22">
        <v>40787</v>
      </c>
      <c r="L32" s="23">
        <f t="shared" si="1"/>
        <v>100</v>
      </c>
      <c r="M32" s="24">
        <v>10</v>
      </c>
      <c r="N32" s="24">
        <v>5</v>
      </c>
      <c r="O32" s="23"/>
      <c r="P32" s="23"/>
      <c r="Q32" s="23"/>
      <c r="R32" s="23"/>
      <c r="S32" s="25"/>
      <c r="T32" s="25"/>
      <c r="U32" s="25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>
        <v>1</v>
      </c>
      <c r="AQ32" s="26">
        <v>0.5</v>
      </c>
      <c r="AR32" s="26"/>
      <c r="AS32" s="26"/>
      <c r="AT32" s="26"/>
      <c r="AU32" s="26"/>
      <c r="AV32" s="26">
        <v>83.5</v>
      </c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>
        <v>102</v>
      </c>
      <c r="BV32" s="27"/>
      <c r="BW32" s="27"/>
      <c r="BX32" s="27"/>
      <c r="BY32" s="27"/>
      <c r="BZ32" s="27"/>
      <c r="CA32" s="27">
        <v>44</v>
      </c>
      <c r="CB32" s="17"/>
    </row>
    <row r="33" spans="1:80" s="10" customFormat="1" ht="14" x14ac:dyDescent="0.15">
      <c r="A33" s="2" t="s">
        <v>4</v>
      </c>
      <c r="B33" s="2" t="s">
        <v>145</v>
      </c>
      <c r="C33" s="2" t="s">
        <v>146</v>
      </c>
      <c r="D33" s="2">
        <v>10</v>
      </c>
      <c r="E33" s="2" t="str">
        <f t="shared" si="0"/>
        <v>s1t3p10</v>
      </c>
      <c r="F33" s="2">
        <v>90</v>
      </c>
      <c r="G33" s="2"/>
      <c r="H33" s="2"/>
      <c r="I33" s="11">
        <v>0.54292500000000021</v>
      </c>
      <c r="J33" s="11"/>
      <c r="K33" s="22">
        <v>40787</v>
      </c>
      <c r="L33" s="23">
        <f t="shared" si="1"/>
        <v>100</v>
      </c>
      <c r="M33" s="24">
        <v>16</v>
      </c>
      <c r="N33" s="24">
        <v>24</v>
      </c>
      <c r="O33" s="23"/>
      <c r="P33" s="23"/>
      <c r="Q33" s="23"/>
      <c r="R33" s="23"/>
      <c r="S33" s="25"/>
      <c r="T33" s="25"/>
      <c r="U33" s="25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>
        <v>60</v>
      </c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>
        <v>38</v>
      </c>
      <c r="BV33" s="27"/>
      <c r="BW33" s="27"/>
      <c r="BX33" s="27"/>
      <c r="BY33" s="27"/>
      <c r="BZ33" s="27"/>
      <c r="CA33" s="27">
        <v>61</v>
      </c>
      <c r="CB33" s="17"/>
    </row>
    <row r="34" spans="1:80" s="10" customFormat="1" ht="14" x14ac:dyDescent="0.15">
      <c r="A34" s="2" t="s">
        <v>4</v>
      </c>
      <c r="B34" s="2" t="s">
        <v>145</v>
      </c>
      <c r="C34" s="2" t="s">
        <v>146</v>
      </c>
      <c r="D34" s="2">
        <v>11</v>
      </c>
      <c r="E34" s="2" t="str">
        <f t="shared" ref="E34:E65" si="2">CONCATENATE(B34,C34,"p",D34)</f>
        <v>s1t3p11</v>
      </c>
      <c r="F34" s="2">
        <v>100</v>
      </c>
      <c r="G34" s="2"/>
      <c r="H34" s="2"/>
      <c r="I34" s="11">
        <v>0.44843700000000025</v>
      </c>
      <c r="J34" s="11"/>
      <c r="K34" s="22">
        <v>40787</v>
      </c>
      <c r="L34" s="23">
        <f t="shared" ref="L34:L65" si="3">SUM(M34:BH34)</f>
        <v>100</v>
      </c>
      <c r="M34" s="24">
        <v>73</v>
      </c>
      <c r="N34" s="24"/>
      <c r="O34" s="23"/>
      <c r="P34" s="23"/>
      <c r="Q34" s="23"/>
      <c r="R34" s="23"/>
      <c r="S34" s="25"/>
      <c r="T34" s="25"/>
      <c r="U34" s="25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>
        <v>25</v>
      </c>
      <c r="AO34" s="26"/>
      <c r="AP34" s="26"/>
      <c r="AQ34" s="26"/>
      <c r="AR34" s="26"/>
      <c r="AS34" s="26"/>
      <c r="AT34" s="26"/>
      <c r="AU34" s="26"/>
      <c r="AV34" s="26">
        <v>2</v>
      </c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7">
        <v>100</v>
      </c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>
        <v>0</v>
      </c>
      <c r="BV34" s="27"/>
      <c r="BW34" s="27"/>
      <c r="BX34" s="27"/>
      <c r="BY34" s="27"/>
      <c r="BZ34" s="27"/>
      <c r="CA34" s="27">
        <v>35</v>
      </c>
      <c r="CB34" s="17"/>
    </row>
    <row r="35" spans="1:80" s="10" customFormat="1" ht="14" x14ac:dyDescent="0.15">
      <c r="A35" s="2" t="s">
        <v>4</v>
      </c>
      <c r="B35" s="2" t="s">
        <v>145</v>
      </c>
      <c r="C35" s="2" t="s">
        <v>146</v>
      </c>
      <c r="D35" s="2">
        <v>12</v>
      </c>
      <c r="E35" s="2" t="str">
        <f t="shared" si="2"/>
        <v>s1t3p12</v>
      </c>
      <c r="F35" s="2">
        <v>110</v>
      </c>
      <c r="G35" s="2"/>
      <c r="H35" s="2"/>
      <c r="I35" s="11">
        <v>0.62445900000000021</v>
      </c>
      <c r="J35" s="11"/>
      <c r="K35" s="22">
        <v>40787</v>
      </c>
      <c r="L35" s="23">
        <f t="shared" si="3"/>
        <v>100</v>
      </c>
      <c r="M35" s="24">
        <v>25</v>
      </c>
      <c r="N35" s="24">
        <v>20</v>
      </c>
      <c r="O35" s="23"/>
      <c r="P35" s="23"/>
      <c r="Q35" s="23"/>
      <c r="R35" s="23"/>
      <c r="S35" s="25"/>
      <c r="T35" s="25"/>
      <c r="U35" s="25"/>
      <c r="V35" s="26">
        <v>8</v>
      </c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>
        <v>0.5</v>
      </c>
      <c r="AQ35" s="26"/>
      <c r="AR35" s="26"/>
      <c r="AS35" s="26"/>
      <c r="AT35" s="26"/>
      <c r="AU35" s="26"/>
      <c r="AV35" s="26">
        <v>46.5</v>
      </c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7"/>
      <c r="BJ35" s="27"/>
      <c r="BK35" s="27"/>
      <c r="BL35" s="27"/>
      <c r="BM35" s="27"/>
      <c r="BN35" s="27"/>
      <c r="BO35" s="27"/>
      <c r="BP35" s="27"/>
      <c r="BQ35" s="27">
        <v>2</v>
      </c>
      <c r="BR35" s="27"/>
      <c r="BS35" s="27"/>
      <c r="BT35" s="27"/>
      <c r="BU35" s="27">
        <v>99</v>
      </c>
      <c r="BV35" s="27"/>
      <c r="BW35" s="27"/>
      <c r="BX35" s="27"/>
      <c r="BY35" s="27"/>
      <c r="BZ35" s="27"/>
      <c r="CA35" s="27">
        <v>34</v>
      </c>
      <c r="CB35" s="17"/>
    </row>
    <row r="36" spans="1:80" s="10" customFormat="1" ht="14" x14ac:dyDescent="0.15">
      <c r="A36" s="2" t="s">
        <v>4</v>
      </c>
      <c r="B36" s="2" t="s">
        <v>145</v>
      </c>
      <c r="C36" s="2" t="s">
        <v>146</v>
      </c>
      <c r="D36" s="2">
        <v>13</v>
      </c>
      <c r="E36" s="2" t="str">
        <f t="shared" si="2"/>
        <v>s1t3p13</v>
      </c>
      <c r="F36" s="2">
        <v>120</v>
      </c>
      <c r="G36" s="2"/>
      <c r="H36" s="2"/>
      <c r="I36" s="11">
        <v>0.80314800000000008</v>
      </c>
      <c r="J36" s="11"/>
      <c r="K36" s="22">
        <v>40786</v>
      </c>
      <c r="L36" s="23">
        <f t="shared" si="3"/>
        <v>100</v>
      </c>
      <c r="M36" s="24">
        <v>2</v>
      </c>
      <c r="N36" s="24">
        <v>15</v>
      </c>
      <c r="O36" s="23"/>
      <c r="P36" s="23"/>
      <c r="Q36" s="23"/>
      <c r="R36" s="23"/>
      <c r="S36" s="25"/>
      <c r="T36" s="25"/>
      <c r="U36" s="25"/>
      <c r="V36" s="26">
        <v>35</v>
      </c>
      <c r="W36" s="26"/>
      <c r="X36" s="26"/>
      <c r="Y36" s="26"/>
      <c r="Z36" s="26"/>
      <c r="AA36" s="26">
        <v>6</v>
      </c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>
        <v>25</v>
      </c>
      <c r="AW36" s="26"/>
      <c r="AX36" s="26">
        <v>17</v>
      </c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7"/>
      <c r="BJ36" s="27"/>
      <c r="BK36" s="27"/>
      <c r="BL36" s="27"/>
      <c r="BM36" s="27"/>
      <c r="BN36" s="27"/>
      <c r="BO36" s="27"/>
      <c r="BP36" s="27"/>
      <c r="BQ36" s="27">
        <v>7</v>
      </c>
      <c r="BR36" s="27"/>
      <c r="BS36" s="27"/>
      <c r="BT36" s="27"/>
      <c r="BU36" s="27">
        <v>20</v>
      </c>
      <c r="BV36" s="27">
        <v>3</v>
      </c>
      <c r="BW36" s="27"/>
      <c r="BX36" s="27">
        <v>56</v>
      </c>
      <c r="BY36" s="27"/>
      <c r="BZ36" s="27"/>
      <c r="CA36" s="27">
        <v>66</v>
      </c>
      <c r="CB36" s="17"/>
    </row>
    <row r="37" spans="1:80" ht="16" x14ac:dyDescent="0.2">
      <c r="A37" s="12" t="s">
        <v>4</v>
      </c>
      <c r="B37" s="12" t="s">
        <v>147</v>
      </c>
      <c r="C37" s="12" t="s">
        <v>149</v>
      </c>
      <c r="D37" s="12">
        <v>1</v>
      </c>
      <c r="E37" s="2" t="str">
        <f t="shared" si="2"/>
        <v>s2t1p1</v>
      </c>
      <c r="F37" s="12">
        <v>0</v>
      </c>
      <c r="G37" s="3" t="s">
        <v>60</v>
      </c>
      <c r="H37" s="3" t="s">
        <v>61</v>
      </c>
      <c r="I37" s="11">
        <v>0.44112180000000001</v>
      </c>
      <c r="J37" s="32">
        <v>0.13100000000000001</v>
      </c>
      <c r="K37" s="28">
        <v>40785</v>
      </c>
      <c r="L37" s="23">
        <f t="shared" si="3"/>
        <v>100</v>
      </c>
      <c r="M37" s="29">
        <v>12</v>
      </c>
      <c r="N37" s="29">
        <v>1</v>
      </c>
      <c r="O37" s="30">
        <v>0.5</v>
      </c>
      <c r="P37" s="30"/>
      <c r="Q37" s="30"/>
      <c r="R37" s="30"/>
      <c r="S37" s="30"/>
      <c r="T37" s="30"/>
      <c r="U37" s="30"/>
      <c r="V37" s="30">
        <v>1</v>
      </c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>
        <v>0.5</v>
      </c>
      <c r="AR37" s="30"/>
      <c r="AS37" s="30"/>
      <c r="AT37" s="30"/>
      <c r="AU37" s="30"/>
      <c r="AV37" s="30">
        <v>85</v>
      </c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>
        <v>72</v>
      </c>
      <c r="BV37" s="29"/>
      <c r="BW37" s="29"/>
      <c r="BX37" s="29"/>
      <c r="BY37" s="29"/>
      <c r="BZ37" s="29"/>
      <c r="CA37" s="29">
        <v>63</v>
      </c>
      <c r="CB37" s="18"/>
    </row>
    <row r="38" spans="1:80" ht="16" x14ac:dyDescent="0.2">
      <c r="A38" s="12" t="s">
        <v>4</v>
      </c>
      <c r="B38" s="12" t="s">
        <v>147</v>
      </c>
      <c r="C38" s="12" t="s">
        <v>149</v>
      </c>
      <c r="D38" s="12">
        <v>2</v>
      </c>
      <c r="E38" s="2" t="str">
        <f t="shared" si="2"/>
        <v>s2t1p2</v>
      </c>
      <c r="F38" s="12">
        <v>10</v>
      </c>
      <c r="G38" s="3" t="s">
        <v>62</v>
      </c>
      <c r="H38" s="3" t="s">
        <v>63</v>
      </c>
      <c r="I38" s="13">
        <v>0.45750479999999971</v>
      </c>
      <c r="J38" s="32">
        <v>0.13700000000000001</v>
      </c>
      <c r="K38" s="28">
        <v>40785</v>
      </c>
      <c r="L38" s="23">
        <f t="shared" si="3"/>
        <v>100</v>
      </c>
      <c r="M38" s="29">
        <v>4</v>
      </c>
      <c r="N38" s="29">
        <v>0.5</v>
      </c>
      <c r="O38" s="30">
        <v>1</v>
      </c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>
        <v>94.5</v>
      </c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>
        <v>219</v>
      </c>
      <c r="BV38" s="29"/>
      <c r="BW38" s="29"/>
      <c r="BX38" s="29"/>
      <c r="BY38" s="29"/>
      <c r="BZ38" s="29"/>
      <c r="CA38" s="29">
        <v>37</v>
      </c>
      <c r="CB38" s="18"/>
    </row>
    <row r="39" spans="1:80" ht="16" x14ac:dyDescent="0.2">
      <c r="A39" s="12" t="s">
        <v>4</v>
      </c>
      <c r="B39" s="12" t="s">
        <v>147</v>
      </c>
      <c r="C39" s="12" t="s">
        <v>149</v>
      </c>
      <c r="D39" s="12">
        <v>3</v>
      </c>
      <c r="E39" s="2" t="str">
        <f t="shared" si="2"/>
        <v>s2t1p3</v>
      </c>
      <c r="F39" s="12">
        <v>20</v>
      </c>
      <c r="G39" s="3" t="s">
        <v>64</v>
      </c>
      <c r="H39" s="3" t="s">
        <v>65</v>
      </c>
      <c r="I39" s="13">
        <v>0.48569879999999982</v>
      </c>
      <c r="J39" s="32">
        <v>0.16400000000000001</v>
      </c>
      <c r="K39" s="28">
        <v>40785</v>
      </c>
      <c r="L39" s="23">
        <f t="shared" si="3"/>
        <v>100</v>
      </c>
      <c r="M39" s="29">
        <v>3</v>
      </c>
      <c r="N39" s="29">
        <v>9</v>
      </c>
      <c r="O39" s="30">
        <v>0.5</v>
      </c>
      <c r="P39" s="30"/>
      <c r="Q39" s="30"/>
      <c r="R39" s="30"/>
      <c r="S39" s="30"/>
      <c r="T39" s="30"/>
      <c r="U39" s="30"/>
      <c r="V39" s="30">
        <v>30</v>
      </c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>
        <v>1</v>
      </c>
      <c r="AR39" s="30"/>
      <c r="AS39" s="30"/>
      <c r="AT39" s="30"/>
      <c r="AU39" s="30"/>
      <c r="AV39" s="30">
        <v>25.5</v>
      </c>
      <c r="AW39" s="30"/>
      <c r="AX39" s="30">
        <v>30</v>
      </c>
      <c r="AY39" s="30"/>
      <c r="AZ39" s="30"/>
      <c r="BA39" s="30">
        <v>1</v>
      </c>
      <c r="BB39" s="30"/>
      <c r="BC39" s="30"/>
      <c r="BD39" s="30"/>
      <c r="BE39" s="30"/>
      <c r="BF39" s="30"/>
      <c r="BG39" s="30"/>
      <c r="BH39" s="30"/>
      <c r="BI39" s="29"/>
      <c r="BJ39" s="29"/>
      <c r="BK39" s="29"/>
      <c r="BL39" s="29"/>
      <c r="BM39" s="29"/>
      <c r="BN39" s="29"/>
      <c r="BO39" s="29"/>
      <c r="BP39" s="29"/>
      <c r="BQ39" s="29">
        <v>8</v>
      </c>
      <c r="BR39" s="29"/>
      <c r="BS39" s="29"/>
      <c r="BT39" s="29"/>
      <c r="BU39" s="29">
        <v>43</v>
      </c>
      <c r="BV39" s="29">
        <v>19</v>
      </c>
      <c r="BW39" s="29"/>
      <c r="BX39" s="29"/>
      <c r="BY39" s="29"/>
      <c r="BZ39" s="29"/>
      <c r="CA39" s="29">
        <v>46</v>
      </c>
      <c r="CB39" s="18"/>
    </row>
    <row r="40" spans="1:80" ht="16" x14ac:dyDescent="0.2">
      <c r="A40" s="12" t="s">
        <v>4</v>
      </c>
      <c r="B40" s="12" t="s">
        <v>147</v>
      </c>
      <c r="C40" s="12" t="s">
        <v>149</v>
      </c>
      <c r="D40" s="12">
        <v>4</v>
      </c>
      <c r="E40" s="2" t="str">
        <f t="shared" si="2"/>
        <v>s2t1p4</v>
      </c>
      <c r="F40" s="12">
        <v>30</v>
      </c>
      <c r="G40" s="3" t="s">
        <v>66</v>
      </c>
      <c r="H40" s="3" t="s">
        <v>67</v>
      </c>
      <c r="I40" s="13">
        <v>0.50627279999999975</v>
      </c>
      <c r="J40" s="32">
        <v>0.32</v>
      </c>
      <c r="K40" s="28">
        <v>40785</v>
      </c>
      <c r="L40" s="23">
        <f t="shared" si="3"/>
        <v>100</v>
      </c>
      <c r="M40" s="29">
        <v>12</v>
      </c>
      <c r="N40" s="29">
        <v>1</v>
      </c>
      <c r="O40" s="30"/>
      <c r="P40" s="30"/>
      <c r="Q40" s="30"/>
      <c r="R40" s="30"/>
      <c r="S40" s="30"/>
      <c r="T40" s="30"/>
      <c r="U40" s="30"/>
      <c r="V40" s="30">
        <v>5</v>
      </c>
      <c r="W40" s="30"/>
      <c r="X40" s="30"/>
      <c r="Y40" s="30"/>
      <c r="Z40" s="30"/>
      <c r="AA40" s="30"/>
      <c r="AB40" s="30"/>
      <c r="AC40" s="30"/>
      <c r="AD40" s="30">
        <v>2</v>
      </c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>
        <v>1</v>
      </c>
      <c r="AQ40" s="30">
        <v>0.5</v>
      </c>
      <c r="AR40" s="30"/>
      <c r="AS40" s="30"/>
      <c r="AT40" s="30"/>
      <c r="AU40" s="30"/>
      <c r="AV40" s="30">
        <v>78.5</v>
      </c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29"/>
      <c r="BJ40" s="29"/>
      <c r="BK40" s="29"/>
      <c r="BL40" s="29"/>
      <c r="BM40" s="29"/>
      <c r="BN40" s="29"/>
      <c r="BO40" s="29"/>
      <c r="BP40" s="29"/>
      <c r="BQ40" s="29">
        <v>2</v>
      </c>
      <c r="BR40" s="29"/>
      <c r="BS40" s="29"/>
      <c r="BT40" s="29"/>
      <c r="BU40" s="29">
        <v>142</v>
      </c>
      <c r="BV40" s="29"/>
      <c r="BW40" s="29"/>
      <c r="BX40" s="29"/>
      <c r="BY40" s="29"/>
      <c r="BZ40" s="29"/>
      <c r="CA40" s="29">
        <v>42</v>
      </c>
      <c r="CB40" s="18"/>
    </row>
    <row r="41" spans="1:80" ht="16" x14ac:dyDescent="0.2">
      <c r="A41" s="12" t="s">
        <v>4</v>
      </c>
      <c r="B41" s="12" t="s">
        <v>147</v>
      </c>
      <c r="C41" s="12" t="s">
        <v>149</v>
      </c>
      <c r="D41" s="12">
        <v>5</v>
      </c>
      <c r="E41" s="2" t="str">
        <f t="shared" si="2"/>
        <v>s2t1p5</v>
      </c>
      <c r="F41" s="12">
        <v>40</v>
      </c>
      <c r="G41" s="3" t="s">
        <v>68</v>
      </c>
      <c r="H41" s="3" t="s">
        <v>69</v>
      </c>
      <c r="I41" s="13">
        <v>0.23652479999999981</v>
      </c>
      <c r="J41" s="32">
        <v>1.7999999999999999E-2</v>
      </c>
      <c r="K41" s="28">
        <v>40785</v>
      </c>
      <c r="L41" s="23">
        <f t="shared" si="3"/>
        <v>100</v>
      </c>
      <c r="M41" s="29">
        <v>93</v>
      </c>
      <c r="N41" s="29">
        <v>7</v>
      </c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29">
        <v>100</v>
      </c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18"/>
    </row>
    <row r="42" spans="1:80" ht="16" x14ac:dyDescent="0.2">
      <c r="A42" s="12" t="s">
        <v>4</v>
      </c>
      <c r="B42" s="12" t="s">
        <v>147</v>
      </c>
      <c r="C42" s="12" t="s">
        <v>149</v>
      </c>
      <c r="D42" s="12">
        <v>6</v>
      </c>
      <c r="E42" s="2" t="str">
        <f t="shared" si="2"/>
        <v>s2t1p6</v>
      </c>
      <c r="F42" s="12">
        <v>50</v>
      </c>
      <c r="G42" s="3" t="s">
        <v>70</v>
      </c>
      <c r="H42" s="3" t="s">
        <v>71</v>
      </c>
      <c r="I42" s="13">
        <v>0.33710879999999982</v>
      </c>
      <c r="J42" s="32">
        <v>0.13700000000000001</v>
      </c>
      <c r="K42" s="28">
        <v>40785</v>
      </c>
      <c r="L42" s="23">
        <f t="shared" si="3"/>
        <v>100</v>
      </c>
      <c r="M42" s="30">
        <v>84.5</v>
      </c>
      <c r="N42" s="29"/>
      <c r="O42" s="30">
        <v>0.5</v>
      </c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>
        <v>15</v>
      </c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29">
        <v>100</v>
      </c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18"/>
    </row>
    <row r="43" spans="1:80" ht="16" x14ac:dyDescent="0.2">
      <c r="A43" s="12" t="s">
        <v>4</v>
      </c>
      <c r="B43" s="12" t="s">
        <v>147</v>
      </c>
      <c r="C43" s="12" t="s">
        <v>149</v>
      </c>
      <c r="D43" s="12">
        <v>7</v>
      </c>
      <c r="E43" s="2" t="str">
        <f t="shared" si="2"/>
        <v>s2t1p7</v>
      </c>
      <c r="F43" s="12">
        <v>60</v>
      </c>
      <c r="G43" s="3" t="s">
        <v>72</v>
      </c>
      <c r="H43" s="3" t="s">
        <v>73</v>
      </c>
      <c r="I43" s="13">
        <v>0.26967180000000002</v>
      </c>
      <c r="J43" s="32">
        <v>5.0999999999999997E-2</v>
      </c>
      <c r="K43" s="28">
        <v>40785</v>
      </c>
      <c r="L43" s="23">
        <f t="shared" si="3"/>
        <v>100</v>
      </c>
      <c r="M43" s="29">
        <v>79</v>
      </c>
      <c r="N43" s="29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>
        <v>21</v>
      </c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29">
        <v>100</v>
      </c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18"/>
    </row>
    <row r="44" spans="1:80" ht="16" x14ac:dyDescent="0.2">
      <c r="A44" s="12" t="s">
        <v>4</v>
      </c>
      <c r="B44" s="12" t="s">
        <v>147</v>
      </c>
      <c r="C44" s="12" t="s">
        <v>149</v>
      </c>
      <c r="D44" s="12">
        <v>8</v>
      </c>
      <c r="E44" s="2" t="str">
        <f t="shared" si="2"/>
        <v>s2t1p8</v>
      </c>
      <c r="F44" s="12">
        <v>70</v>
      </c>
      <c r="G44" s="3" t="s">
        <v>74</v>
      </c>
      <c r="H44" s="3" t="s">
        <v>75</v>
      </c>
      <c r="I44" s="13">
        <v>0.51541679999999979</v>
      </c>
      <c r="J44" s="32">
        <v>0.29699999999999999</v>
      </c>
      <c r="K44" s="28">
        <v>40785</v>
      </c>
      <c r="L44" s="23">
        <f t="shared" si="3"/>
        <v>100</v>
      </c>
      <c r="M44" s="29">
        <v>8</v>
      </c>
      <c r="N44" s="29">
        <v>6</v>
      </c>
      <c r="O44" s="30"/>
      <c r="P44" s="30"/>
      <c r="Q44" s="30"/>
      <c r="R44" s="30"/>
      <c r="S44" s="30"/>
      <c r="T44" s="30"/>
      <c r="U44" s="30"/>
      <c r="V44" s="30">
        <v>35</v>
      </c>
      <c r="W44" s="30"/>
      <c r="X44" s="30"/>
      <c r="Y44" s="30"/>
      <c r="Z44" s="30"/>
      <c r="AA44" s="30"/>
      <c r="AB44" s="30"/>
      <c r="AC44" s="30"/>
      <c r="AD44" s="30">
        <v>1</v>
      </c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>
        <v>2</v>
      </c>
      <c r="AQ44" s="30">
        <v>3</v>
      </c>
      <c r="AR44" s="30"/>
      <c r="AS44" s="30"/>
      <c r="AT44" s="30"/>
      <c r="AU44" s="30"/>
      <c r="AV44" s="30">
        <v>45</v>
      </c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29"/>
      <c r="BJ44" s="29"/>
      <c r="BK44" s="29"/>
      <c r="BL44" s="29"/>
      <c r="BM44" s="29"/>
      <c r="BN44" s="29"/>
      <c r="BO44" s="29"/>
      <c r="BP44" s="29"/>
      <c r="BQ44" s="29">
        <v>6</v>
      </c>
      <c r="BR44" s="29"/>
      <c r="BS44" s="29"/>
      <c r="BT44" s="29"/>
      <c r="BU44" s="29">
        <v>68</v>
      </c>
      <c r="BV44" s="29"/>
      <c r="BW44" s="29"/>
      <c r="BX44" s="29"/>
      <c r="BY44" s="29"/>
      <c r="BZ44" s="29"/>
      <c r="CA44" s="29">
        <v>48</v>
      </c>
      <c r="CB44" s="18"/>
    </row>
    <row r="45" spans="1:80" ht="16" x14ac:dyDescent="0.2">
      <c r="A45" s="12" t="s">
        <v>4</v>
      </c>
      <c r="B45" s="12" t="s">
        <v>147</v>
      </c>
      <c r="C45" s="12" t="s">
        <v>149</v>
      </c>
      <c r="D45" s="12">
        <v>9</v>
      </c>
      <c r="E45" s="2" t="str">
        <f t="shared" si="2"/>
        <v>s2t1p9</v>
      </c>
      <c r="F45" s="12">
        <v>80</v>
      </c>
      <c r="G45" s="3" t="s">
        <v>76</v>
      </c>
      <c r="H45" s="3" t="s">
        <v>77</v>
      </c>
      <c r="I45" s="13">
        <v>0.47426879999999988</v>
      </c>
      <c r="J45" s="32">
        <v>0.23799999999999999</v>
      </c>
      <c r="K45" s="28">
        <v>40785</v>
      </c>
      <c r="L45" s="23">
        <f t="shared" si="3"/>
        <v>100</v>
      </c>
      <c r="M45" s="29">
        <v>65</v>
      </c>
      <c r="N45" s="29">
        <v>1</v>
      </c>
      <c r="O45" s="30"/>
      <c r="P45" s="30"/>
      <c r="Q45" s="30"/>
      <c r="R45" s="30"/>
      <c r="S45" s="30"/>
      <c r="T45" s="30"/>
      <c r="U45" s="30"/>
      <c r="V45" s="30">
        <v>3</v>
      </c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>
        <v>4</v>
      </c>
      <c r="AQ45" s="30"/>
      <c r="AR45" s="30"/>
      <c r="AS45" s="30"/>
      <c r="AT45" s="30"/>
      <c r="AU45" s="30"/>
      <c r="AV45" s="30">
        <v>27</v>
      </c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29">
        <v>80</v>
      </c>
      <c r="BJ45" s="29"/>
      <c r="BK45" s="29"/>
      <c r="BL45" s="29"/>
      <c r="BM45" s="29"/>
      <c r="BN45" s="29"/>
      <c r="BO45" s="29"/>
      <c r="BP45" s="29"/>
      <c r="BQ45" s="29">
        <v>2</v>
      </c>
      <c r="BR45" s="29"/>
      <c r="BS45" s="29"/>
      <c r="BT45" s="29"/>
      <c r="BU45" s="29">
        <v>67</v>
      </c>
      <c r="BV45" s="29"/>
      <c r="BW45" s="29"/>
      <c r="BX45" s="29"/>
      <c r="BY45" s="29"/>
      <c r="BZ45" s="29"/>
      <c r="CA45" s="29">
        <v>28</v>
      </c>
      <c r="CB45" s="18"/>
    </row>
    <row r="46" spans="1:80" ht="16" x14ac:dyDescent="0.2">
      <c r="A46" s="12" t="s">
        <v>4</v>
      </c>
      <c r="B46" s="12" t="s">
        <v>147</v>
      </c>
      <c r="C46" s="12" t="s">
        <v>149</v>
      </c>
      <c r="D46" s="12">
        <v>10</v>
      </c>
      <c r="E46" s="2" t="str">
        <f t="shared" si="2"/>
        <v>s2t1p10</v>
      </c>
      <c r="F46" s="12">
        <v>90</v>
      </c>
      <c r="G46" s="3" t="s">
        <v>78</v>
      </c>
      <c r="H46" s="3" t="s">
        <v>79</v>
      </c>
      <c r="I46" s="13">
        <v>0.43807380000000007</v>
      </c>
      <c r="J46" s="32">
        <v>0.24</v>
      </c>
      <c r="K46" s="28">
        <v>40785</v>
      </c>
      <c r="L46" s="23">
        <f t="shared" si="3"/>
        <v>100</v>
      </c>
      <c r="M46" s="30">
        <v>75.5</v>
      </c>
      <c r="N46" s="30">
        <v>0.5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>
        <v>4</v>
      </c>
      <c r="AO46" s="30"/>
      <c r="AP46" s="30"/>
      <c r="AQ46" s="30"/>
      <c r="AR46" s="30"/>
      <c r="AS46" s="30"/>
      <c r="AT46" s="30"/>
      <c r="AU46" s="30"/>
      <c r="AV46" s="30">
        <v>20</v>
      </c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29">
        <v>100</v>
      </c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>
        <v>1</v>
      </c>
      <c r="BV46" s="29"/>
      <c r="BW46" s="29"/>
      <c r="BX46" s="29"/>
      <c r="BY46" s="29"/>
      <c r="BZ46" s="29"/>
      <c r="CA46" s="29">
        <v>14</v>
      </c>
      <c r="CB46" s="18"/>
    </row>
    <row r="47" spans="1:80" ht="16" x14ac:dyDescent="0.2">
      <c r="A47" s="12" t="s">
        <v>4</v>
      </c>
      <c r="B47" s="12" t="s">
        <v>147</v>
      </c>
      <c r="C47" s="12" t="s">
        <v>149</v>
      </c>
      <c r="D47" s="12">
        <v>11</v>
      </c>
      <c r="E47" s="2" t="str">
        <f t="shared" si="2"/>
        <v>s2t1p11</v>
      </c>
      <c r="F47" s="12">
        <v>100</v>
      </c>
      <c r="G47" s="3" t="s">
        <v>80</v>
      </c>
      <c r="H47" s="3" t="s">
        <v>81</v>
      </c>
      <c r="I47" s="13">
        <v>0.47617379999999981</v>
      </c>
      <c r="J47" s="32">
        <v>0.27600000000000002</v>
      </c>
      <c r="K47" s="28">
        <v>40785</v>
      </c>
      <c r="L47" s="23">
        <f t="shared" si="3"/>
        <v>100</v>
      </c>
      <c r="M47" s="29">
        <v>63</v>
      </c>
      <c r="N47" s="29">
        <v>5</v>
      </c>
      <c r="O47" s="30"/>
      <c r="P47" s="30"/>
      <c r="Q47" s="30"/>
      <c r="R47" s="30"/>
      <c r="S47" s="30"/>
      <c r="T47" s="30"/>
      <c r="U47" s="30"/>
      <c r="V47" s="30">
        <v>2</v>
      </c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>
        <v>2</v>
      </c>
      <c r="AQ47" s="30"/>
      <c r="AR47" s="30"/>
      <c r="AS47" s="30"/>
      <c r="AT47" s="30"/>
      <c r="AU47" s="30"/>
      <c r="AV47" s="30">
        <v>28</v>
      </c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29">
        <v>90</v>
      </c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>
        <v>25</v>
      </c>
      <c r="BV47" s="29"/>
      <c r="BW47" s="29"/>
      <c r="BX47" s="29"/>
      <c r="BY47" s="29"/>
      <c r="BZ47" s="29"/>
      <c r="CA47" s="29">
        <v>40</v>
      </c>
      <c r="CB47" s="18"/>
    </row>
    <row r="48" spans="1:80" ht="16" x14ac:dyDescent="0.2">
      <c r="A48" s="12" t="s">
        <v>4</v>
      </c>
      <c r="B48" s="12" t="s">
        <v>147</v>
      </c>
      <c r="C48" s="12" t="s">
        <v>149</v>
      </c>
      <c r="D48" s="12">
        <v>12</v>
      </c>
      <c r="E48" s="2" t="str">
        <f t="shared" si="2"/>
        <v>s2t1p12</v>
      </c>
      <c r="F48" s="12">
        <v>110</v>
      </c>
      <c r="G48" s="3" t="s">
        <v>82</v>
      </c>
      <c r="H48" s="3" t="s">
        <v>83</v>
      </c>
      <c r="I48" s="13">
        <v>0.50131979999999998</v>
      </c>
      <c r="J48" s="32">
        <v>0.309</v>
      </c>
      <c r="K48" s="28">
        <v>40785</v>
      </c>
      <c r="L48" s="23">
        <f t="shared" si="3"/>
        <v>100</v>
      </c>
      <c r="M48" s="29">
        <v>45</v>
      </c>
      <c r="N48" s="29">
        <v>10</v>
      </c>
      <c r="O48" s="30"/>
      <c r="P48" s="30"/>
      <c r="Q48" s="30"/>
      <c r="R48" s="30"/>
      <c r="S48" s="30"/>
      <c r="T48" s="30"/>
      <c r="U48" s="30"/>
      <c r="V48" s="30">
        <v>35</v>
      </c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>
        <v>2</v>
      </c>
      <c r="AQ48" s="30"/>
      <c r="AR48" s="30"/>
      <c r="AS48" s="30"/>
      <c r="AT48" s="30"/>
      <c r="AU48" s="30"/>
      <c r="AV48" s="30">
        <v>8</v>
      </c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29"/>
      <c r="BJ48" s="29"/>
      <c r="BK48" s="29"/>
      <c r="BL48" s="29"/>
      <c r="BM48" s="29"/>
      <c r="BN48" s="29"/>
      <c r="BO48" s="29"/>
      <c r="BP48" s="29"/>
      <c r="BQ48" s="29">
        <v>47</v>
      </c>
      <c r="BR48" s="29"/>
      <c r="BS48" s="29"/>
      <c r="BT48" s="29"/>
      <c r="BU48" s="29">
        <v>10</v>
      </c>
      <c r="BV48" s="29"/>
      <c r="BW48" s="29"/>
      <c r="BX48" s="29"/>
      <c r="BY48" s="29"/>
      <c r="BZ48" s="29"/>
      <c r="CA48" s="29">
        <v>26</v>
      </c>
      <c r="CB48" s="18"/>
    </row>
    <row r="49" spans="1:80" ht="16" x14ac:dyDescent="0.2">
      <c r="A49" s="12" t="s">
        <v>4</v>
      </c>
      <c r="B49" s="12" t="s">
        <v>147</v>
      </c>
      <c r="C49" s="12" t="s">
        <v>149</v>
      </c>
      <c r="D49" s="12">
        <v>13</v>
      </c>
      <c r="E49" s="2" t="str">
        <f t="shared" si="2"/>
        <v>s2t1p13</v>
      </c>
      <c r="F49" s="12">
        <v>120</v>
      </c>
      <c r="G49" s="3" t="s">
        <v>84</v>
      </c>
      <c r="H49" s="3" t="s">
        <v>85</v>
      </c>
      <c r="I49" s="13">
        <v>0.54589679999999996</v>
      </c>
      <c r="J49" s="32">
        <v>0.36699999999999999</v>
      </c>
      <c r="K49" s="28">
        <v>40785</v>
      </c>
      <c r="L49" s="23">
        <f t="shared" si="3"/>
        <v>100</v>
      </c>
      <c r="M49" s="29">
        <v>2</v>
      </c>
      <c r="N49" s="29">
        <v>18</v>
      </c>
      <c r="O49" s="30"/>
      <c r="P49" s="30"/>
      <c r="Q49" s="30"/>
      <c r="R49" s="30"/>
      <c r="S49" s="30"/>
      <c r="T49" s="30"/>
      <c r="U49" s="30"/>
      <c r="V49" s="30">
        <v>50.5</v>
      </c>
      <c r="W49" s="30"/>
      <c r="X49" s="30"/>
      <c r="Y49" s="30"/>
      <c r="Z49" s="30"/>
      <c r="AA49" s="30"/>
      <c r="AB49" s="30">
        <v>20</v>
      </c>
      <c r="AC49" s="30"/>
      <c r="AD49" s="30">
        <v>1</v>
      </c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>
        <v>0.5</v>
      </c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>
        <v>8</v>
      </c>
      <c r="BB49" s="30"/>
      <c r="BC49" s="30"/>
      <c r="BD49" s="30"/>
      <c r="BE49" s="30"/>
      <c r="BF49" s="30"/>
      <c r="BG49" s="30"/>
      <c r="BH49" s="30"/>
      <c r="BI49" s="29"/>
      <c r="BJ49" s="29"/>
      <c r="BK49" s="29"/>
      <c r="BL49" s="29"/>
      <c r="BM49" s="29"/>
      <c r="BN49" s="29"/>
      <c r="BO49" s="29"/>
      <c r="BP49" s="29"/>
      <c r="BQ49" s="29">
        <v>19</v>
      </c>
      <c r="BR49" s="29">
        <v>18</v>
      </c>
      <c r="BS49" s="29"/>
      <c r="BT49" s="29"/>
      <c r="BU49" s="29"/>
      <c r="BV49" s="29"/>
      <c r="BW49" s="29"/>
      <c r="BX49" s="29"/>
      <c r="BY49" s="29"/>
      <c r="BZ49" s="29"/>
      <c r="CA49" s="29"/>
      <c r="CB49" s="18"/>
    </row>
    <row r="50" spans="1:80" ht="16" x14ac:dyDescent="0.2">
      <c r="A50" s="12" t="s">
        <v>4</v>
      </c>
      <c r="B50" s="12" t="s">
        <v>147</v>
      </c>
      <c r="C50" s="12" t="s">
        <v>149</v>
      </c>
      <c r="D50" s="12">
        <v>14</v>
      </c>
      <c r="E50" s="2" t="str">
        <f t="shared" si="2"/>
        <v>s2t1p14</v>
      </c>
      <c r="F50" s="12">
        <v>130</v>
      </c>
      <c r="G50" s="3" t="s">
        <v>84</v>
      </c>
      <c r="H50" s="3" t="s">
        <v>86</v>
      </c>
      <c r="I50" s="13">
        <v>0.5683758000000001</v>
      </c>
      <c r="J50" s="32">
        <v>0.40100000000000002</v>
      </c>
      <c r="K50" s="28">
        <v>40785</v>
      </c>
      <c r="L50" s="23">
        <f t="shared" si="3"/>
        <v>100</v>
      </c>
      <c r="M50" s="29">
        <v>2</v>
      </c>
      <c r="N50" s="29">
        <v>24</v>
      </c>
      <c r="O50" s="30"/>
      <c r="P50" s="30"/>
      <c r="Q50" s="30"/>
      <c r="R50" s="30"/>
      <c r="S50" s="30">
        <v>0.5</v>
      </c>
      <c r="T50" s="30"/>
      <c r="U50" s="30"/>
      <c r="V50" s="30">
        <v>29.5</v>
      </c>
      <c r="W50" s="30"/>
      <c r="X50" s="30"/>
      <c r="Y50" s="30"/>
      <c r="Z50" s="30"/>
      <c r="AA50" s="30"/>
      <c r="AB50" s="30">
        <v>25</v>
      </c>
      <c r="AC50" s="30"/>
      <c r="AD50" s="30">
        <v>5</v>
      </c>
      <c r="AE50" s="30"/>
      <c r="AF50" s="30"/>
      <c r="AG50" s="30"/>
      <c r="AH50" s="30"/>
      <c r="AI50" s="30"/>
      <c r="AJ50" s="30"/>
      <c r="AK50" s="30">
        <v>3</v>
      </c>
      <c r="AL50" s="30"/>
      <c r="AM50" s="30"/>
      <c r="AN50" s="30"/>
      <c r="AO50" s="30"/>
      <c r="AP50" s="30">
        <v>1</v>
      </c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>
        <v>10</v>
      </c>
      <c r="BB50" s="30"/>
      <c r="BC50" s="30"/>
      <c r="BD50" s="30"/>
      <c r="BE50" s="30"/>
      <c r="BF50" s="30"/>
      <c r="BG50" s="30"/>
      <c r="BH50" s="30"/>
      <c r="BI50" s="29"/>
      <c r="BJ50" s="29"/>
      <c r="BK50" s="29"/>
      <c r="BL50" s="29"/>
      <c r="BM50" s="29"/>
      <c r="BN50" s="29"/>
      <c r="BO50" s="29"/>
      <c r="BP50" s="29"/>
      <c r="BQ50" s="29">
        <v>14</v>
      </c>
      <c r="BR50" s="29">
        <v>52</v>
      </c>
      <c r="BS50" s="29"/>
      <c r="BT50" s="29"/>
      <c r="BU50" s="29"/>
      <c r="BV50" s="29"/>
      <c r="BW50" s="29"/>
      <c r="BX50" s="29"/>
      <c r="BY50" s="29"/>
      <c r="BZ50" s="29"/>
      <c r="CA50" s="29"/>
      <c r="CB50" s="18"/>
    </row>
    <row r="51" spans="1:80" ht="16" x14ac:dyDescent="0.2">
      <c r="A51" s="12" t="s">
        <v>4</v>
      </c>
      <c r="B51" s="12" t="s">
        <v>147</v>
      </c>
      <c r="C51" s="12" t="s">
        <v>149</v>
      </c>
      <c r="D51" s="12">
        <v>15</v>
      </c>
      <c r="E51" s="2" t="str">
        <f t="shared" si="2"/>
        <v>s2t1p15</v>
      </c>
      <c r="F51" s="12">
        <v>140</v>
      </c>
      <c r="G51" s="3" t="s">
        <v>87</v>
      </c>
      <c r="H51" s="3" t="s">
        <v>88</v>
      </c>
      <c r="I51" s="13">
        <v>0.63085979999999986</v>
      </c>
      <c r="J51" s="32">
        <v>0.46800000000000003</v>
      </c>
      <c r="K51" s="28">
        <v>40785</v>
      </c>
      <c r="L51" s="23">
        <f t="shared" si="3"/>
        <v>100</v>
      </c>
      <c r="M51" s="29">
        <v>1</v>
      </c>
      <c r="N51" s="29">
        <v>1</v>
      </c>
      <c r="O51" s="30"/>
      <c r="P51" s="30"/>
      <c r="Q51" s="30"/>
      <c r="R51" s="30"/>
      <c r="S51" s="30"/>
      <c r="T51" s="30"/>
      <c r="U51" s="30"/>
      <c r="V51" s="30">
        <v>4</v>
      </c>
      <c r="W51" s="30"/>
      <c r="X51" s="30"/>
      <c r="Y51" s="30"/>
      <c r="Z51" s="30"/>
      <c r="AA51" s="30">
        <v>2</v>
      </c>
      <c r="AB51" s="30">
        <v>42</v>
      </c>
      <c r="AC51" s="30"/>
      <c r="AD51" s="30">
        <v>2</v>
      </c>
      <c r="AE51" s="30"/>
      <c r="AF51" s="30"/>
      <c r="AG51" s="30"/>
      <c r="AH51" s="30"/>
      <c r="AI51" s="30"/>
      <c r="AJ51" s="30"/>
      <c r="AK51" s="30">
        <v>47</v>
      </c>
      <c r="AL51" s="30"/>
      <c r="AM51" s="30"/>
      <c r="AN51" s="30"/>
      <c r="AO51" s="30"/>
      <c r="AP51" s="30">
        <v>1</v>
      </c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29"/>
      <c r="BJ51" s="29"/>
      <c r="BK51" s="29"/>
      <c r="BL51" s="29"/>
      <c r="BM51" s="29"/>
      <c r="BN51" s="29"/>
      <c r="BO51" s="29"/>
      <c r="BP51" s="29"/>
      <c r="BQ51" s="29"/>
      <c r="BR51" s="29">
        <v>11</v>
      </c>
      <c r="BS51" s="29"/>
      <c r="BT51" s="29"/>
      <c r="BU51" s="29"/>
      <c r="BV51" s="29"/>
      <c r="BW51" s="29"/>
      <c r="BX51" s="29">
        <v>32</v>
      </c>
      <c r="BY51" s="29"/>
      <c r="BZ51" s="29"/>
      <c r="CA51" s="29"/>
      <c r="CB51" s="18"/>
    </row>
    <row r="52" spans="1:80" ht="16" x14ac:dyDescent="0.2">
      <c r="A52" s="12" t="s">
        <v>4</v>
      </c>
      <c r="B52" s="12" t="s">
        <v>147</v>
      </c>
      <c r="C52" s="12" t="s">
        <v>149</v>
      </c>
      <c r="D52" s="12">
        <v>16</v>
      </c>
      <c r="E52" s="2" t="str">
        <f t="shared" si="2"/>
        <v>s2t1p16</v>
      </c>
      <c r="F52" s="12">
        <v>150</v>
      </c>
      <c r="G52" s="3" t="s">
        <v>87</v>
      </c>
      <c r="H52" s="3" t="s">
        <v>89</v>
      </c>
      <c r="I52" s="13">
        <v>0.67200779999999982</v>
      </c>
      <c r="J52" s="32">
        <v>0.51500000000000001</v>
      </c>
      <c r="K52" s="28">
        <v>40785</v>
      </c>
      <c r="L52" s="23">
        <f t="shared" si="3"/>
        <v>100</v>
      </c>
      <c r="M52" s="29">
        <v>1</v>
      </c>
      <c r="N52" s="30">
        <v>0.5</v>
      </c>
      <c r="O52" s="30"/>
      <c r="P52" s="30"/>
      <c r="Q52" s="30"/>
      <c r="R52" s="30"/>
      <c r="S52" s="30">
        <v>18</v>
      </c>
      <c r="T52" s="30"/>
      <c r="U52" s="30"/>
      <c r="V52" s="30">
        <v>1</v>
      </c>
      <c r="W52" s="30"/>
      <c r="X52" s="30"/>
      <c r="Y52" s="30"/>
      <c r="Z52" s="30"/>
      <c r="AA52" s="30">
        <v>6</v>
      </c>
      <c r="AB52" s="30">
        <v>32</v>
      </c>
      <c r="AC52" s="30"/>
      <c r="AD52" s="30">
        <v>1</v>
      </c>
      <c r="AE52" s="30"/>
      <c r="AF52" s="30"/>
      <c r="AG52" s="30"/>
      <c r="AH52" s="30"/>
      <c r="AI52" s="30"/>
      <c r="AJ52" s="30"/>
      <c r="AK52" s="30">
        <v>37</v>
      </c>
      <c r="AL52" s="30"/>
      <c r="AM52" s="30"/>
      <c r="AN52" s="30"/>
      <c r="AO52" s="30"/>
      <c r="AP52" s="30">
        <v>0.5</v>
      </c>
      <c r="AQ52" s="30"/>
      <c r="AR52" s="30"/>
      <c r="AS52" s="30"/>
      <c r="AT52" s="30"/>
      <c r="AU52" s="30">
        <v>2</v>
      </c>
      <c r="AV52" s="30"/>
      <c r="AW52" s="30"/>
      <c r="AX52" s="30"/>
      <c r="AY52" s="30"/>
      <c r="AZ52" s="30"/>
      <c r="BA52" s="30">
        <v>1</v>
      </c>
      <c r="BB52" s="30"/>
      <c r="BC52" s="30"/>
      <c r="BD52" s="30"/>
      <c r="BE52" s="30"/>
      <c r="BF52" s="30"/>
      <c r="BG52" s="30"/>
      <c r="BH52" s="30"/>
      <c r="BI52" s="29"/>
      <c r="BJ52" s="29"/>
      <c r="BK52" s="29"/>
      <c r="BL52" s="29"/>
      <c r="BM52" s="29"/>
      <c r="BN52" s="29"/>
      <c r="BO52" s="29"/>
      <c r="BP52" s="29"/>
      <c r="BQ52" s="29"/>
      <c r="BR52" s="29">
        <v>17</v>
      </c>
      <c r="BS52" s="29"/>
      <c r="BT52" s="29"/>
      <c r="BU52" s="29"/>
      <c r="BV52" s="29"/>
      <c r="BW52" s="29"/>
      <c r="BX52" s="29">
        <v>29</v>
      </c>
      <c r="BY52" s="29"/>
      <c r="BZ52" s="29"/>
      <c r="CA52" s="29"/>
      <c r="CB52" s="18"/>
    </row>
    <row r="53" spans="1:80" ht="16" x14ac:dyDescent="0.2">
      <c r="A53" s="12" t="s">
        <v>4</v>
      </c>
      <c r="B53" s="12" t="s">
        <v>147</v>
      </c>
      <c r="C53" s="12" t="s">
        <v>149</v>
      </c>
      <c r="D53" s="12">
        <v>17</v>
      </c>
      <c r="E53" s="2" t="str">
        <f t="shared" si="2"/>
        <v>s2t1p17</v>
      </c>
      <c r="F53" s="12">
        <v>155</v>
      </c>
      <c r="G53" s="3" t="s">
        <v>90</v>
      </c>
      <c r="H53" s="3" t="s">
        <v>91</v>
      </c>
      <c r="I53" s="13">
        <v>0.75214480000000006</v>
      </c>
      <c r="J53" s="32">
        <v>0.63300000000000001</v>
      </c>
      <c r="K53" s="28">
        <v>40785</v>
      </c>
      <c r="L53" s="23">
        <f t="shared" si="3"/>
        <v>100</v>
      </c>
      <c r="M53" s="29">
        <v>1</v>
      </c>
      <c r="N53" s="29">
        <v>13</v>
      </c>
      <c r="O53" s="30"/>
      <c r="P53" s="30"/>
      <c r="Q53" s="30"/>
      <c r="R53" s="30"/>
      <c r="S53" s="30"/>
      <c r="T53" s="30">
        <v>35</v>
      </c>
      <c r="U53" s="30"/>
      <c r="V53" s="30"/>
      <c r="W53" s="30">
        <v>1</v>
      </c>
      <c r="X53" s="30"/>
      <c r="Y53" s="30"/>
      <c r="Z53" s="30"/>
      <c r="AA53" s="30">
        <v>30</v>
      </c>
      <c r="AB53" s="30">
        <v>3</v>
      </c>
      <c r="AC53" s="30"/>
      <c r="AD53" s="30"/>
      <c r="AE53" s="30"/>
      <c r="AF53" s="30"/>
      <c r="AG53" s="30"/>
      <c r="AH53" s="30"/>
      <c r="AI53" s="30"/>
      <c r="AJ53" s="30"/>
      <c r="AK53" s="30">
        <v>1</v>
      </c>
      <c r="AL53" s="30"/>
      <c r="AM53" s="30">
        <v>1</v>
      </c>
      <c r="AN53" s="30"/>
      <c r="AO53" s="30"/>
      <c r="AP53" s="30"/>
      <c r="AQ53" s="30"/>
      <c r="AR53" s="30"/>
      <c r="AS53" s="30"/>
      <c r="AT53" s="30"/>
      <c r="AU53" s="30">
        <v>5</v>
      </c>
      <c r="AV53" s="30"/>
      <c r="AW53" s="30"/>
      <c r="AX53" s="30">
        <v>10</v>
      </c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29"/>
      <c r="BJ53" s="29"/>
      <c r="BK53" s="29">
        <v>30</v>
      </c>
      <c r="BL53" s="29"/>
      <c r="BM53" s="29"/>
      <c r="BN53" s="29"/>
      <c r="BO53" s="29"/>
      <c r="BP53" s="29"/>
      <c r="BQ53" s="29"/>
      <c r="BR53" s="29">
        <v>10</v>
      </c>
      <c r="BS53" s="29"/>
      <c r="BT53" s="29"/>
      <c r="BU53" s="29"/>
      <c r="BV53" s="29">
        <v>7</v>
      </c>
      <c r="BW53" s="29"/>
      <c r="BX53" s="29">
        <v>78</v>
      </c>
      <c r="BY53" s="29"/>
      <c r="BZ53" s="29"/>
      <c r="CA53" s="29"/>
      <c r="CB53" s="18"/>
    </row>
    <row r="54" spans="1:80" ht="15" x14ac:dyDescent="0.2">
      <c r="A54" s="12" t="s">
        <v>4</v>
      </c>
      <c r="B54" s="12" t="s">
        <v>147</v>
      </c>
      <c r="C54" s="12" t="s">
        <v>148</v>
      </c>
      <c r="D54" s="12">
        <v>1</v>
      </c>
      <c r="E54" s="2" t="str">
        <f t="shared" si="2"/>
        <v>s2t2p1</v>
      </c>
      <c r="F54" s="12">
        <v>0</v>
      </c>
      <c r="G54" s="3" t="s">
        <v>92</v>
      </c>
      <c r="H54" s="3" t="s">
        <v>7</v>
      </c>
      <c r="I54" s="13">
        <v>0.4475987999999998</v>
      </c>
      <c r="J54" s="32">
        <v>6.4000000000000001E-2</v>
      </c>
      <c r="K54" s="28">
        <v>40786</v>
      </c>
      <c r="L54" s="23">
        <f t="shared" si="3"/>
        <v>100</v>
      </c>
      <c r="M54" s="29">
        <v>15</v>
      </c>
      <c r="N54" s="29">
        <v>6</v>
      </c>
      <c r="O54" s="30">
        <v>1</v>
      </c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>
        <v>78</v>
      </c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>
        <v>52</v>
      </c>
      <c r="BV54" s="29"/>
      <c r="BW54" s="29"/>
      <c r="BX54" s="29"/>
      <c r="BY54" s="29"/>
      <c r="BZ54" s="29"/>
      <c r="CA54" s="29">
        <v>55</v>
      </c>
      <c r="CB54" s="18"/>
    </row>
    <row r="55" spans="1:80" ht="15" x14ac:dyDescent="0.2">
      <c r="A55" s="12" t="s">
        <v>4</v>
      </c>
      <c r="B55" s="12" t="s">
        <v>147</v>
      </c>
      <c r="C55" s="12" t="s">
        <v>148</v>
      </c>
      <c r="D55" s="12">
        <v>2</v>
      </c>
      <c r="E55" s="2" t="str">
        <f t="shared" si="2"/>
        <v>s2t2p2</v>
      </c>
      <c r="F55" s="12">
        <v>10</v>
      </c>
      <c r="G55" s="3" t="s">
        <v>93</v>
      </c>
      <c r="H55" s="3" t="s">
        <v>94</v>
      </c>
      <c r="I55" s="13">
        <v>0.47998379999999985</v>
      </c>
      <c r="J55" s="32">
        <v>8.8999999999999996E-2</v>
      </c>
      <c r="K55" s="28">
        <v>40786</v>
      </c>
      <c r="L55" s="23">
        <f t="shared" si="3"/>
        <v>100</v>
      </c>
      <c r="M55" s="29">
        <f>20/90.5*100</f>
        <v>22.099447513812155</v>
      </c>
      <c r="N55" s="29">
        <f>7/90.5*100</f>
        <v>7.7348066298342539</v>
      </c>
      <c r="O55" s="30">
        <f>3/90.5*100</f>
        <v>3.3149171270718232</v>
      </c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>
        <f>0.5/90.5*100</f>
        <v>0.55248618784530379</v>
      </c>
      <c r="AQ55" s="30"/>
      <c r="AR55" s="30"/>
      <c r="AS55" s="30"/>
      <c r="AT55" s="30"/>
      <c r="AU55" s="30"/>
      <c r="AV55" s="30">
        <f>60/90.5*100</f>
        <v>66.298342541436455</v>
      </c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>
        <v>29</v>
      </c>
      <c r="BV55" s="29"/>
      <c r="BW55" s="29"/>
      <c r="BX55" s="29"/>
      <c r="BY55" s="29"/>
      <c r="BZ55" s="29"/>
      <c r="CA55" s="29">
        <v>55</v>
      </c>
      <c r="CB55" s="18"/>
    </row>
    <row r="56" spans="1:80" ht="15" x14ac:dyDescent="0.2">
      <c r="A56" s="12" t="s">
        <v>4</v>
      </c>
      <c r="B56" s="12" t="s">
        <v>147</v>
      </c>
      <c r="C56" s="12" t="s">
        <v>148</v>
      </c>
      <c r="D56" s="12">
        <v>3</v>
      </c>
      <c r="E56" s="2" t="str">
        <f t="shared" si="2"/>
        <v>s2t2p3</v>
      </c>
      <c r="F56" s="12">
        <v>20</v>
      </c>
      <c r="G56" s="3" t="s">
        <v>33</v>
      </c>
      <c r="H56" s="3" t="s">
        <v>95</v>
      </c>
      <c r="I56" s="13">
        <v>0.55427879999999996</v>
      </c>
      <c r="J56" s="32">
        <v>0.16400000000000001</v>
      </c>
      <c r="K56" s="28">
        <v>40786</v>
      </c>
      <c r="L56" s="23">
        <f t="shared" si="3"/>
        <v>100</v>
      </c>
      <c r="M56" s="29">
        <v>4</v>
      </c>
      <c r="N56" s="29">
        <v>5</v>
      </c>
      <c r="O56" s="30"/>
      <c r="P56" s="30"/>
      <c r="Q56" s="30"/>
      <c r="R56" s="30"/>
      <c r="S56" s="30"/>
      <c r="T56" s="30"/>
      <c r="U56" s="30"/>
      <c r="V56" s="30">
        <v>18</v>
      </c>
      <c r="W56" s="30"/>
      <c r="X56" s="30"/>
      <c r="Y56" s="30"/>
      <c r="Z56" s="30"/>
      <c r="AA56" s="30"/>
      <c r="AB56" s="30"/>
      <c r="AC56" s="30"/>
      <c r="AD56" s="30">
        <v>2</v>
      </c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>
        <v>2</v>
      </c>
      <c r="AQ56" s="30">
        <v>2</v>
      </c>
      <c r="AR56" s="30"/>
      <c r="AS56" s="30"/>
      <c r="AT56" s="30"/>
      <c r="AU56" s="30"/>
      <c r="AV56" s="30">
        <v>8</v>
      </c>
      <c r="AW56" s="30"/>
      <c r="AX56" s="30">
        <v>59</v>
      </c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29"/>
      <c r="BJ56" s="29"/>
      <c r="BK56" s="29"/>
      <c r="BL56" s="29"/>
      <c r="BM56" s="29"/>
      <c r="BN56" s="29"/>
      <c r="BO56" s="29"/>
      <c r="BP56" s="29"/>
      <c r="BQ56" s="29">
        <v>10</v>
      </c>
      <c r="BR56" s="29"/>
      <c r="BS56" s="29"/>
      <c r="BT56" s="29"/>
      <c r="BU56" s="29">
        <v>1</v>
      </c>
      <c r="BV56" s="29">
        <v>26</v>
      </c>
      <c r="BW56" s="29"/>
      <c r="BX56" s="29"/>
      <c r="BY56" s="29"/>
      <c r="BZ56" s="29"/>
      <c r="CA56" s="29">
        <v>33</v>
      </c>
      <c r="CB56" s="18"/>
    </row>
    <row r="57" spans="1:80" ht="15" x14ac:dyDescent="0.2">
      <c r="A57" s="12" t="s">
        <v>4</v>
      </c>
      <c r="B57" s="12" t="s">
        <v>147</v>
      </c>
      <c r="C57" s="12" t="s">
        <v>148</v>
      </c>
      <c r="D57" s="12">
        <v>4</v>
      </c>
      <c r="E57" s="2" t="str">
        <f t="shared" si="2"/>
        <v>s2t2p4</v>
      </c>
      <c r="F57" s="12">
        <v>30</v>
      </c>
      <c r="G57" s="3" t="s">
        <v>8</v>
      </c>
      <c r="H57" s="3" t="s">
        <v>96</v>
      </c>
      <c r="I57" s="13">
        <v>0.54094379999999986</v>
      </c>
      <c r="J57" s="32">
        <v>0.13300000000000001</v>
      </c>
      <c r="K57" s="28">
        <v>40786</v>
      </c>
      <c r="L57" s="23">
        <f t="shared" si="3"/>
        <v>100</v>
      </c>
      <c r="M57" s="29">
        <v>5</v>
      </c>
      <c r="N57" s="29">
        <v>2</v>
      </c>
      <c r="O57" s="30"/>
      <c r="P57" s="30"/>
      <c r="Q57" s="30"/>
      <c r="R57" s="30"/>
      <c r="S57" s="30"/>
      <c r="T57" s="30"/>
      <c r="U57" s="30"/>
      <c r="V57" s="30">
        <v>76</v>
      </c>
      <c r="W57" s="30"/>
      <c r="X57" s="30"/>
      <c r="Y57" s="30"/>
      <c r="Z57" s="30"/>
      <c r="AA57" s="30"/>
      <c r="AB57" s="30"/>
      <c r="AC57" s="30"/>
      <c r="AD57" s="30">
        <v>2</v>
      </c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>
        <v>2</v>
      </c>
      <c r="AQ57" s="30">
        <v>1</v>
      </c>
      <c r="AR57" s="30"/>
      <c r="AS57" s="30"/>
      <c r="AT57" s="30"/>
      <c r="AU57" s="30"/>
      <c r="AV57" s="30">
        <v>10</v>
      </c>
      <c r="AW57" s="30"/>
      <c r="AX57" s="30">
        <v>1</v>
      </c>
      <c r="AY57" s="30"/>
      <c r="AZ57" s="30"/>
      <c r="BA57" s="30">
        <v>1</v>
      </c>
      <c r="BB57" s="30"/>
      <c r="BC57" s="30"/>
      <c r="BD57" s="30"/>
      <c r="BE57" s="30"/>
      <c r="BF57" s="30"/>
      <c r="BG57" s="30"/>
      <c r="BH57" s="30"/>
      <c r="BI57" s="29">
        <v>2</v>
      </c>
      <c r="BJ57" s="29"/>
      <c r="BK57" s="29"/>
      <c r="BL57" s="29"/>
      <c r="BM57" s="29"/>
      <c r="BN57" s="29"/>
      <c r="BO57" s="29"/>
      <c r="BP57" s="29"/>
      <c r="BQ57" s="29">
        <v>32</v>
      </c>
      <c r="BR57" s="29"/>
      <c r="BS57" s="29"/>
      <c r="BT57" s="29"/>
      <c r="BU57" s="29">
        <v>8</v>
      </c>
      <c r="BV57" s="29"/>
      <c r="BW57" s="29"/>
      <c r="BX57" s="29"/>
      <c r="BY57" s="29"/>
      <c r="BZ57" s="29"/>
      <c r="CA57" s="29">
        <v>31</v>
      </c>
      <c r="CB57" s="18"/>
    </row>
    <row r="58" spans="1:80" ht="15" x14ac:dyDescent="0.2">
      <c r="A58" s="12" t="s">
        <v>4</v>
      </c>
      <c r="B58" s="12" t="s">
        <v>147</v>
      </c>
      <c r="C58" s="12" t="s">
        <v>148</v>
      </c>
      <c r="D58" s="12">
        <v>5</v>
      </c>
      <c r="E58" s="2" t="str">
        <f t="shared" si="2"/>
        <v>s2t2p5</v>
      </c>
      <c r="F58" s="12">
        <v>40</v>
      </c>
      <c r="G58" s="3" t="s">
        <v>8</v>
      </c>
      <c r="H58" s="3" t="s">
        <v>97</v>
      </c>
      <c r="I58" s="13">
        <v>0.40378379999999986</v>
      </c>
      <c r="J58" s="32">
        <v>-7.5999999999999998E-2</v>
      </c>
      <c r="K58" s="28">
        <v>40786</v>
      </c>
      <c r="L58" s="23">
        <f t="shared" si="3"/>
        <v>100</v>
      </c>
      <c r="M58" s="30">
        <v>49.5</v>
      </c>
      <c r="N58" s="29">
        <v>25</v>
      </c>
      <c r="O58" s="30"/>
      <c r="P58" s="30">
        <v>0.5</v>
      </c>
      <c r="Q58" s="30"/>
      <c r="R58" s="30"/>
      <c r="S58" s="30"/>
      <c r="T58" s="30"/>
      <c r="U58" s="30"/>
      <c r="V58" s="30">
        <v>1</v>
      </c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>
        <v>24</v>
      </c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29">
        <v>75</v>
      </c>
      <c r="BJ58" s="29"/>
      <c r="BK58" s="29"/>
      <c r="BL58" s="29"/>
      <c r="BM58" s="29"/>
      <c r="BN58" s="29"/>
      <c r="BO58" s="29"/>
      <c r="BP58" s="29"/>
      <c r="BQ58" s="29">
        <v>0</v>
      </c>
      <c r="BR58" s="29"/>
      <c r="BS58" s="29"/>
      <c r="BT58" s="29"/>
      <c r="BU58" s="29">
        <v>46</v>
      </c>
      <c r="BV58" s="29"/>
      <c r="BW58" s="29"/>
      <c r="BX58" s="29"/>
      <c r="BY58" s="29"/>
      <c r="BZ58" s="29"/>
      <c r="CA58" s="29">
        <v>25</v>
      </c>
      <c r="CB58" s="18"/>
    </row>
    <row r="59" spans="1:80" ht="15" x14ac:dyDescent="0.2">
      <c r="A59" s="12" t="s">
        <v>4</v>
      </c>
      <c r="B59" s="12" t="s">
        <v>147</v>
      </c>
      <c r="C59" s="12" t="s">
        <v>148</v>
      </c>
      <c r="D59" s="12">
        <v>6</v>
      </c>
      <c r="E59" s="2" t="str">
        <f t="shared" si="2"/>
        <v>s2t2p6</v>
      </c>
      <c r="F59" s="12">
        <v>50</v>
      </c>
      <c r="G59" s="3" t="s">
        <v>9</v>
      </c>
      <c r="H59" s="3" t="s">
        <v>98</v>
      </c>
      <c r="I59" s="13">
        <v>0.43769280000000016</v>
      </c>
      <c r="J59" s="32">
        <v>5.8999999999999997E-2</v>
      </c>
      <c r="K59" s="28">
        <v>40786</v>
      </c>
      <c r="L59" s="23">
        <f t="shared" si="3"/>
        <v>100</v>
      </c>
      <c r="M59" s="30">
        <v>53.5</v>
      </c>
      <c r="N59" s="29">
        <v>20</v>
      </c>
      <c r="O59" s="30"/>
      <c r="P59" s="30">
        <v>0.5</v>
      </c>
      <c r="Q59" s="30"/>
      <c r="R59" s="30"/>
      <c r="S59" s="30"/>
      <c r="T59" s="30"/>
      <c r="U59" s="30"/>
      <c r="V59" s="30">
        <v>19</v>
      </c>
      <c r="W59" s="30"/>
      <c r="X59" s="30"/>
      <c r="Y59" s="30"/>
      <c r="Z59" s="30"/>
      <c r="AA59" s="30"/>
      <c r="AB59" s="30"/>
      <c r="AC59" s="30"/>
      <c r="AD59" s="30">
        <v>1</v>
      </c>
      <c r="AE59" s="30"/>
      <c r="AF59" s="30"/>
      <c r="AG59" s="30"/>
      <c r="AH59" s="30"/>
      <c r="AI59" s="30"/>
      <c r="AJ59" s="30"/>
      <c r="AK59" s="30"/>
      <c r="AL59" s="30"/>
      <c r="AM59" s="30"/>
      <c r="AN59" s="30">
        <v>5</v>
      </c>
      <c r="AO59" s="30"/>
      <c r="AP59" s="30">
        <v>0.5</v>
      </c>
      <c r="AQ59" s="30"/>
      <c r="AR59" s="30"/>
      <c r="AS59" s="30"/>
      <c r="AT59" s="30"/>
      <c r="AU59" s="30"/>
      <c r="AV59" s="30">
        <v>0.5</v>
      </c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29">
        <v>80</v>
      </c>
      <c r="BJ59" s="29"/>
      <c r="BK59" s="29"/>
      <c r="BL59" s="29"/>
      <c r="BM59" s="29"/>
      <c r="BN59" s="29"/>
      <c r="BO59" s="29"/>
      <c r="BP59" s="29"/>
      <c r="BQ59" s="29">
        <v>10</v>
      </c>
      <c r="BR59" s="29"/>
      <c r="BS59" s="29"/>
      <c r="BT59" s="29"/>
      <c r="BU59" s="29">
        <v>1</v>
      </c>
      <c r="BV59" s="29"/>
      <c r="BW59" s="29"/>
      <c r="BX59" s="29"/>
      <c r="BY59" s="29"/>
      <c r="BZ59" s="29"/>
      <c r="CA59" s="29">
        <v>12</v>
      </c>
      <c r="CB59" s="18"/>
    </row>
    <row r="60" spans="1:80" ht="15" x14ac:dyDescent="0.2">
      <c r="A60" s="12" t="s">
        <v>4</v>
      </c>
      <c r="B60" s="12" t="s">
        <v>147</v>
      </c>
      <c r="C60" s="12" t="s">
        <v>148</v>
      </c>
      <c r="D60" s="12">
        <v>7</v>
      </c>
      <c r="E60" s="2" t="str">
        <f t="shared" si="2"/>
        <v>s2t2p7</v>
      </c>
      <c r="F60" s="12">
        <v>60</v>
      </c>
      <c r="G60" s="3" t="s">
        <v>99</v>
      </c>
      <c r="H60" s="3" t="s">
        <v>100</v>
      </c>
      <c r="I60" s="13">
        <v>0.53256179999999997</v>
      </c>
      <c r="J60" s="32">
        <v>0.10299999999999999</v>
      </c>
      <c r="K60" s="28">
        <v>40786</v>
      </c>
      <c r="L60" s="23">
        <f t="shared" si="3"/>
        <v>100</v>
      </c>
      <c r="M60" s="29">
        <v>4</v>
      </c>
      <c r="N60" s="29">
        <v>5</v>
      </c>
      <c r="O60" s="30"/>
      <c r="P60" s="30"/>
      <c r="Q60" s="30"/>
      <c r="R60" s="30"/>
      <c r="S60" s="30"/>
      <c r="T60" s="30"/>
      <c r="U60" s="30"/>
      <c r="V60" s="30">
        <v>8</v>
      </c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>
        <v>0.5</v>
      </c>
      <c r="AR60" s="30"/>
      <c r="AS60" s="30"/>
      <c r="AT60" s="30"/>
      <c r="AU60" s="30"/>
      <c r="AV60" s="30">
        <v>82.5</v>
      </c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29"/>
      <c r="BJ60" s="29"/>
      <c r="BK60" s="29"/>
      <c r="BL60" s="29"/>
      <c r="BM60" s="29"/>
      <c r="BN60" s="29"/>
      <c r="BO60" s="29"/>
      <c r="BP60" s="29"/>
      <c r="BQ60" s="29">
        <v>5</v>
      </c>
      <c r="BR60" s="29"/>
      <c r="BS60" s="29"/>
      <c r="BT60" s="29"/>
      <c r="BU60" s="29">
        <v>74</v>
      </c>
      <c r="BV60" s="29"/>
      <c r="BW60" s="29"/>
      <c r="BX60" s="29"/>
      <c r="BY60" s="29"/>
      <c r="BZ60" s="29"/>
      <c r="CA60" s="29">
        <v>53</v>
      </c>
      <c r="CB60" s="18"/>
    </row>
    <row r="61" spans="1:80" ht="15" x14ac:dyDescent="0.2">
      <c r="A61" s="12" t="s">
        <v>4</v>
      </c>
      <c r="B61" s="12" t="s">
        <v>147</v>
      </c>
      <c r="C61" s="12" t="s">
        <v>148</v>
      </c>
      <c r="D61" s="12">
        <v>8</v>
      </c>
      <c r="E61" s="2" t="str">
        <f t="shared" si="2"/>
        <v>s2t2p8</v>
      </c>
      <c r="F61" s="12">
        <v>70</v>
      </c>
      <c r="G61" s="3" t="s">
        <v>101</v>
      </c>
      <c r="H61" s="3" t="s">
        <v>102</v>
      </c>
      <c r="I61" s="13">
        <v>0.52189379999999985</v>
      </c>
      <c r="J61" s="32">
        <v>0.122</v>
      </c>
      <c r="K61" s="28">
        <v>40786</v>
      </c>
      <c r="L61" s="23">
        <f t="shared" si="3"/>
        <v>100</v>
      </c>
      <c r="M61" s="31">
        <f>(2/91.5)*100</f>
        <v>2.1857923497267762</v>
      </c>
      <c r="N61" s="29">
        <f>1/91.5*100</f>
        <v>1.0928961748633881</v>
      </c>
      <c r="O61" s="30">
        <f>0.5/91.5*100</f>
        <v>0.54644808743169404</v>
      </c>
      <c r="P61" s="30"/>
      <c r="Q61" s="30"/>
      <c r="R61" s="30"/>
      <c r="S61" s="30"/>
      <c r="T61" s="30"/>
      <c r="U61" s="30"/>
      <c r="V61" s="30">
        <f>5/91.5*100</f>
        <v>5.4644808743169397</v>
      </c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>
        <f>50/91.5*100</f>
        <v>54.644808743169406</v>
      </c>
      <c r="AW61" s="30"/>
      <c r="AX61" s="30">
        <f>30/91.5*100</f>
        <v>32.786885245901637</v>
      </c>
      <c r="AY61" s="30"/>
      <c r="AZ61" s="30"/>
      <c r="BA61" s="30">
        <f>3/91.5*100</f>
        <v>3.278688524590164</v>
      </c>
      <c r="BB61" s="30"/>
      <c r="BC61" s="30"/>
      <c r="BD61" s="30"/>
      <c r="BE61" s="30"/>
      <c r="BF61" s="30"/>
      <c r="BG61" s="30"/>
      <c r="BH61" s="30"/>
      <c r="BI61" s="29"/>
      <c r="BJ61" s="29"/>
      <c r="BK61" s="29"/>
      <c r="BL61" s="29"/>
      <c r="BM61" s="29"/>
      <c r="BN61" s="29"/>
      <c r="BO61" s="29"/>
      <c r="BP61" s="29"/>
      <c r="BQ61" s="29">
        <v>3</v>
      </c>
      <c r="BR61" s="29"/>
      <c r="BS61" s="29"/>
      <c r="BT61" s="29"/>
      <c r="BU61" s="29">
        <v>39</v>
      </c>
      <c r="BV61" s="29">
        <v>74</v>
      </c>
      <c r="BW61" s="29"/>
      <c r="BX61" s="29"/>
      <c r="BY61" s="29"/>
      <c r="BZ61" s="29"/>
      <c r="CA61" s="29">
        <v>58</v>
      </c>
      <c r="CB61" s="18"/>
    </row>
    <row r="62" spans="1:80" ht="15" x14ac:dyDescent="0.2">
      <c r="A62" s="12" t="s">
        <v>4</v>
      </c>
      <c r="B62" s="12" t="s">
        <v>147</v>
      </c>
      <c r="C62" s="12" t="s">
        <v>148</v>
      </c>
      <c r="D62" s="12">
        <v>9</v>
      </c>
      <c r="E62" s="2" t="str">
        <f t="shared" si="2"/>
        <v>s2t2p9</v>
      </c>
      <c r="F62" s="12">
        <v>80</v>
      </c>
      <c r="G62" s="3" t="s">
        <v>101</v>
      </c>
      <c r="H62" s="3" t="s">
        <v>103</v>
      </c>
      <c r="I62" s="13">
        <v>0.18127979999999996</v>
      </c>
      <c r="J62" s="32">
        <v>-0.27200000000000002</v>
      </c>
      <c r="K62" s="28">
        <v>40786</v>
      </c>
      <c r="L62" s="23">
        <f t="shared" si="3"/>
        <v>100</v>
      </c>
      <c r="M62" s="30">
        <v>97.5</v>
      </c>
      <c r="N62" s="29"/>
      <c r="O62" s="30"/>
      <c r="P62" s="30">
        <v>2</v>
      </c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>
        <v>0.5</v>
      </c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18"/>
    </row>
    <row r="63" spans="1:80" ht="15" x14ac:dyDescent="0.2">
      <c r="A63" s="12" t="s">
        <v>4</v>
      </c>
      <c r="B63" s="12" t="s">
        <v>147</v>
      </c>
      <c r="C63" s="12" t="s">
        <v>148</v>
      </c>
      <c r="D63" s="12">
        <v>10</v>
      </c>
      <c r="E63" s="2" t="str">
        <f t="shared" si="2"/>
        <v>s2t2p10</v>
      </c>
      <c r="F63" s="12">
        <v>90</v>
      </c>
      <c r="G63" s="3" t="s">
        <v>104</v>
      </c>
      <c r="H63" s="3" t="s">
        <v>105</v>
      </c>
      <c r="I63" s="13">
        <v>0.15156179999999994</v>
      </c>
      <c r="J63" s="32">
        <v>-0.249</v>
      </c>
      <c r="K63" s="28">
        <v>40786</v>
      </c>
      <c r="L63" s="23">
        <f t="shared" si="3"/>
        <v>100</v>
      </c>
      <c r="M63" s="29">
        <v>99</v>
      </c>
      <c r="N63" s="29"/>
      <c r="O63" s="30"/>
      <c r="P63" s="30">
        <v>1</v>
      </c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29">
        <v>100</v>
      </c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18"/>
    </row>
    <row r="64" spans="1:80" ht="15" x14ac:dyDescent="0.2">
      <c r="A64" s="12" t="s">
        <v>4</v>
      </c>
      <c r="B64" s="12" t="s">
        <v>147</v>
      </c>
      <c r="C64" s="12" t="s">
        <v>148</v>
      </c>
      <c r="D64" s="12">
        <v>11</v>
      </c>
      <c r="E64" s="2" t="str">
        <f t="shared" si="2"/>
        <v>s2t2p11</v>
      </c>
      <c r="F64" s="12">
        <v>100</v>
      </c>
      <c r="G64" s="3" t="s">
        <v>106</v>
      </c>
      <c r="H64" s="3" t="s">
        <v>107</v>
      </c>
      <c r="I64" s="13">
        <v>0.21214080000000007</v>
      </c>
      <c r="J64" s="32">
        <v>-0.11799999999999999</v>
      </c>
      <c r="K64" s="28">
        <v>40785</v>
      </c>
      <c r="L64" s="23">
        <f t="shared" si="3"/>
        <v>100</v>
      </c>
      <c r="M64" s="29">
        <v>99</v>
      </c>
      <c r="N64" s="29"/>
      <c r="O64" s="30"/>
      <c r="P64" s="30">
        <v>1</v>
      </c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29">
        <v>100</v>
      </c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18"/>
    </row>
    <row r="65" spans="1:80" ht="15" x14ac:dyDescent="0.2">
      <c r="A65" s="12" t="s">
        <v>4</v>
      </c>
      <c r="B65" s="12" t="s">
        <v>147</v>
      </c>
      <c r="C65" s="12" t="s">
        <v>148</v>
      </c>
      <c r="D65" s="12">
        <v>12</v>
      </c>
      <c r="E65" s="2" t="str">
        <f t="shared" si="2"/>
        <v>s2t2p12</v>
      </c>
      <c r="F65" s="12">
        <v>110</v>
      </c>
      <c r="G65" s="3" t="s">
        <v>108</v>
      </c>
      <c r="H65" s="3" t="s">
        <v>109</v>
      </c>
      <c r="I65" s="13">
        <v>0.23538180000000003</v>
      </c>
      <c r="J65" s="32">
        <v>-0.151</v>
      </c>
      <c r="K65" s="28">
        <v>40785</v>
      </c>
      <c r="L65" s="23">
        <f t="shared" si="3"/>
        <v>100</v>
      </c>
      <c r="M65" s="29">
        <v>100</v>
      </c>
      <c r="N65" s="29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29">
        <v>100</v>
      </c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18"/>
    </row>
    <row r="66" spans="1:80" ht="15" x14ac:dyDescent="0.2">
      <c r="A66" s="12" t="s">
        <v>4</v>
      </c>
      <c r="B66" s="12" t="s">
        <v>147</v>
      </c>
      <c r="C66" s="12" t="s">
        <v>148</v>
      </c>
      <c r="D66" s="12">
        <v>13</v>
      </c>
      <c r="E66" s="2" t="str">
        <f t="shared" ref="E66:E97" si="4">CONCATENATE(B66,C66,"p",D66)</f>
        <v>s2t2p13</v>
      </c>
      <c r="F66" s="12">
        <v>120</v>
      </c>
      <c r="G66" s="3" t="s">
        <v>10</v>
      </c>
      <c r="H66" s="3" t="s">
        <v>110</v>
      </c>
      <c r="I66" s="13">
        <v>0.54703979999999974</v>
      </c>
      <c r="J66" s="32">
        <v>0.186</v>
      </c>
      <c r="K66" s="28">
        <v>40785</v>
      </c>
      <c r="L66" s="23">
        <f t="shared" ref="L66:L97" si="5">SUM(M66:BH66)</f>
        <v>100</v>
      </c>
      <c r="M66" s="29">
        <v>3</v>
      </c>
      <c r="N66" s="29">
        <v>3</v>
      </c>
      <c r="O66" s="30"/>
      <c r="P66" s="30"/>
      <c r="Q66" s="30"/>
      <c r="R66" s="30"/>
      <c r="S66" s="30"/>
      <c r="T66" s="30"/>
      <c r="U66" s="30"/>
      <c r="V66" s="30">
        <v>75</v>
      </c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>
        <v>2</v>
      </c>
      <c r="AQ66" s="30">
        <v>0.5</v>
      </c>
      <c r="AR66" s="30"/>
      <c r="AS66" s="30"/>
      <c r="AT66" s="30"/>
      <c r="AU66" s="30"/>
      <c r="AV66" s="30">
        <v>11</v>
      </c>
      <c r="AW66" s="30"/>
      <c r="AX66" s="30">
        <v>5</v>
      </c>
      <c r="AY66" s="30"/>
      <c r="AZ66" s="30"/>
      <c r="BA66" s="30">
        <v>0.5</v>
      </c>
      <c r="BB66" s="30"/>
      <c r="BC66" s="30"/>
      <c r="BD66" s="30"/>
      <c r="BE66" s="30"/>
      <c r="BF66" s="30"/>
      <c r="BG66" s="30"/>
      <c r="BH66" s="30"/>
      <c r="BI66" s="29"/>
      <c r="BJ66" s="29"/>
      <c r="BK66" s="29"/>
      <c r="BL66" s="29"/>
      <c r="BM66" s="29"/>
      <c r="BN66" s="29"/>
      <c r="BO66" s="29"/>
      <c r="BP66" s="29"/>
      <c r="BQ66" s="29">
        <v>19</v>
      </c>
      <c r="BR66" s="29"/>
      <c r="BS66" s="29"/>
      <c r="BT66" s="29"/>
      <c r="BU66" s="29">
        <v>8</v>
      </c>
      <c r="BV66" s="29"/>
      <c r="BW66" s="29"/>
      <c r="BX66" s="29"/>
      <c r="BY66" s="29"/>
      <c r="BZ66" s="29"/>
      <c r="CA66" s="29">
        <v>43</v>
      </c>
      <c r="CB66" s="18"/>
    </row>
    <row r="67" spans="1:80" ht="15" x14ac:dyDescent="0.2">
      <c r="A67" s="12" t="s">
        <v>4</v>
      </c>
      <c r="B67" s="12" t="s">
        <v>147</v>
      </c>
      <c r="C67" s="12" t="s">
        <v>148</v>
      </c>
      <c r="D67" s="12">
        <v>14</v>
      </c>
      <c r="E67" s="2" t="str">
        <f t="shared" si="4"/>
        <v>s2t2p14</v>
      </c>
      <c r="F67" s="12">
        <v>130</v>
      </c>
      <c r="G67" s="3" t="s">
        <v>11</v>
      </c>
      <c r="H67" s="3" t="s">
        <v>12</v>
      </c>
      <c r="I67" s="13">
        <v>0.56875680000000006</v>
      </c>
      <c r="J67" s="32">
        <v>0.221</v>
      </c>
      <c r="K67" s="28">
        <v>40785</v>
      </c>
      <c r="L67" s="23">
        <f t="shared" si="5"/>
        <v>100</v>
      </c>
      <c r="M67" s="29">
        <v>1</v>
      </c>
      <c r="N67" s="29">
        <v>15</v>
      </c>
      <c r="O67" s="30"/>
      <c r="P67" s="30"/>
      <c r="Q67" s="30"/>
      <c r="R67" s="30"/>
      <c r="S67" s="30"/>
      <c r="T67" s="30"/>
      <c r="U67" s="30"/>
      <c r="V67" s="30">
        <v>45</v>
      </c>
      <c r="W67" s="30"/>
      <c r="X67" s="30"/>
      <c r="Y67" s="30"/>
      <c r="Z67" s="30"/>
      <c r="AA67" s="30"/>
      <c r="AB67" s="30">
        <v>22</v>
      </c>
      <c r="AC67" s="30"/>
      <c r="AD67" s="30">
        <v>5</v>
      </c>
      <c r="AE67" s="30"/>
      <c r="AF67" s="30"/>
      <c r="AG67" s="30"/>
      <c r="AH67" s="30"/>
      <c r="AI67" s="30"/>
      <c r="AJ67" s="30"/>
      <c r="AK67" s="30">
        <v>0.5</v>
      </c>
      <c r="AL67" s="30"/>
      <c r="AM67" s="30"/>
      <c r="AN67" s="30"/>
      <c r="AO67" s="30"/>
      <c r="AP67" s="30">
        <v>0.5</v>
      </c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>
        <v>6</v>
      </c>
      <c r="BB67" s="30"/>
      <c r="BC67" s="30">
        <v>5</v>
      </c>
      <c r="BD67" s="30"/>
      <c r="BE67" s="30"/>
      <c r="BF67" s="30"/>
      <c r="BG67" s="30"/>
      <c r="BH67" s="30"/>
      <c r="BI67" s="29"/>
      <c r="BJ67" s="29"/>
      <c r="BK67" s="29"/>
      <c r="BL67" s="29"/>
      <c r="BM67" s="29"/>
      <c r="BN67" s="29"/>
      <c r="BO67" s="29"/>
      <c r="BP67" s="29"/>
      <c r="BQ67" s="29">
        <v>18</v>
      </c>
      <c r="BR67" s="29">
        <v>42</v>
      </c>
      <c r="BS67" s="29"/>
      <c r="BT67" s="29"/>
      <c r="BU67" s="29"/>
      <c r="BV67" s="29"/>
      <c r="BW67" s="29"/>
      <c r="BX67" s="29"/>
      <c r="BY67" s="29"/>
      <c r="BZ67" s="29"/>
      <c r="CA67" s="29"/>
      <c r="CB67" s="18"/>
    </row>
    <row r="68" spans="1:80" ht="15" x14ac:dyDescent="0.2">
      <c r="A68" s="12" t="s">
        <v>4</v>
      </c>
      <c r="B68" s="12" t="s">
        <v>147</v>
      </c>
      <c r="C68" s="12" t="s">
        <v>148</v>
      </c>
      <c r="D68" s="12">
        <v>15</v>
      </c>
      <c r="E68" s="2" t="str">
        <f t="shared" si="4"/>
        <v>s2t2p15</v>
      </c>
      <c r="F68" s="12">
        <v>140</v>
      </c>
      <c r="G68" s="3" t="s">
        <v>111</v>
      </c>
      <c r="H68" s="3" t="s">
        <v>13</v>
      </c>
      <c r="I68" s="13">
        <v>0.6434327999999998</v>
      </c>
      <c r="J68" s="32">
        <v>0.27800000000000002</v>
      </c>
      <c r="K68" s="28">
        <v>40785</v>
      </c>
      <c r="L68" s="23">
        <f t="shared" si="5"/>
        <v>100</v>
      </c>
      <c r="M68" s="29">
        <v>1</v>
      </c>
      <c r="N68" s="29">
        <v>8</v>
      </c>
      <c r="O68" s="30">
        <v>3</v>
      </c>
      <c r="P68" s="30"/>
      <c r="Q68" s="30"/>
      <c r="R68" s="30"/>
      <c r="S68" s="30">
        <v>8</v>
      </c>
      <c r="T68" s="30"/>
      <c r="U68" s="30"/>
      <c r="V68" s="30">
        <v>20</v>
      </c>
      <c r="W68" s="30"/>
      <c r="X68" s="30"/>
      <c r="Y68" s="30"/>
      <c r="Z68" s="30"/>
      <c r="AA68" s="30">
        <v>11</v>
      </c>
      <c r="AB68" s="30">
        <v>24.5</v>
      </c>
      <c r="AC68" s="30"/>
      <c r="AD68" s="30">
        <v>1</v>
      </c>
      <c r="AE68" s="30"/>
      <c r="AF68" s="30"/>
      <c r="AG68" s="30"/>
      <c r="AH68" s="30"/>
      <c r="AI68" s="30"/>
      <c r="AJ68" s="30"/>
      <c r="AK68" s="30">
        <v>10</v>
      </c>
      <c r="AL68" s="30"/>
      <c r="AM68" s="30"/>
      <c r="AN68" s="30"/>
      <c r="AO68" s="30"/>
      <c r="AP68" s="30">
        <v>2</v>
      </c>
      <c r="AQ68" s="30"/>
      <c r="AR68" s="30"/>
      <c r="AS68" s="30"/>
      <c r="AT68" s="30"/>
      <c r="AU68" s="30">
        <v>0.5</v>
      </c>
      <c r="AV68" s="30"/>
      <c r="AW68" s="30"/>
      <c r="AX68" s="30"/>
      <c r="AY68" s="30"/>
      <c r="AZ68" s="30"/>
      <c r="BA68" s="30">
        <v>5</v>
      </c>
      <c r="BB68" s="30"/>
      <c r="BC68" s="30">
        <v>2</v>
      </c>
      <c r="BD68" s="30"/>
      <c r="BE68" s="30"/>
      <c r="BF68" s="30"/>
      <c r="BG68" s="30">
        <v>4</v>
      </c>
      <c r="BH68" s="30"/>
      <c r="BI68" s="29"/>
      <c r="BJ68" s="29"/>
      <c r="BK68" s="29"/>
      <c r="BL68" s="29"/>
      <c r="BM68" s="29"/>
      <c r="BN68" s="29"/>
      <c r="BO68" s="29"/>
      <c r="BP68" s="29"/>
      <c r="BQ68" s="29">
        <v>6</v>
      </c>
      <c r="BR68" s="29">
        <v>16</v>
      </c>
      <c r="BS68" s="29"/>
      <c r="BT68" s="29"/>
      <c r="BU68" s="29"/>
      <c r="BV68" s="29"/>
      <c r="BW68" s="29"/>
      <c r="BX68" s="29">
        <v>50</v>
      </c>
      <c r="BY68" s="29"/>
      <c r="BZ68" s="29"/>
      <c r="CA68" s="29"/>
      <c r="CB68" s="18"/>
    </row>
    <row r="69" spans="1:80" ht="16" x14ac:dyDescent="0.2">
      <c r="A69" s="12" t="s">
        <v>4</v>
      </c>
      <c r="B69" s="12" t="s">
        <v>147</v>
      </c>
      <c r="C69" s="12" t="s">
        <v>146</v>
      </c>
      <c r="D69" s="12">
        <v>1</v>
      </c>
      <c r="E69" s="2" t="str">
        <f t="shared" si="4"/>
        <v>s2t3p1</v>
      </c>
      <c r="F69" s="12">
        <v>0</v>
      </c>
      <c r="G69" s="3" t="s">
        <v>112</v>
      </c>
      <c r="H69" s="3" t="s">
        <v>67</v>
      </c>
      <c r="I69" s="13">
        <v>0.33520379999999966</v>
      </c>
      <c r="J69" s="32">
        <v>-1.4999999999999999E-2</v>
      </c>
      <c r="K69" s="28">
        <v>40786</v>
      </c>
      <c r="L69" s="23">
        <f t="shared" si="5"/>
        <v>100</v>
      </c>
      <c r="M69" s="29">
        <v>5</v>
      </c>
      <c r="N69" s="29"/>
      <c r="O69" s="30">
        <v>88</v>
      </c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>
        <v>4</v>
      </c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>
        <v>3</v>
      </c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>
        <v>5</v>
      </c>
      <c r="BV69" s="29"/>
      <c r="BW69" s="29"/>
      <c r="BX69" s="29"/>
      <c r="BY69" s="29"/>
      <c r="BZ69" s="29"/>
      <c r="CA69" s="29">
        <v>29</v>
      </c>
      <c r="CB69" s="18"/>
    </row>
    <row r="70" spans="1:80" ht="16" x14ac:dyDescent="0.2">
      <c r="A70" s="12" t="s">
        <v>4</v>
      </c>
      <c r="B70" s="12" t="s">
        <v>147</v>
      </c>
      <c r="C70" s="12" t="s">
        <v>146</v>
      </c>
      <c r="D70" s="12">
        <v>2</v>
      </c>
      <c r="E70" s="2" t="str">
        <f t="shared" si="4"/>
        <v>s2t3p2</v>
      </c>
      <c r="F70" s="12">
        <v>10</v>
      </c>
      <c r="G70" s="3" t="s">
        <v>113</v>
      </c>
      <c r="H70" s="3" t="s">
        <v>114</v>
      </c>
      <c r="I70" s="13">
        <v>0.48493679999999995</v>
      </c>
      <c r="J70" s="32">
        <v>0.16200000000000001</v>
      </c>
      <c r="K70" s="28">
        <v>40786</v>
      </c>
      <c r="L70" s="23">
        <f t="shared" si="5"/>
        <v>100</v>
      </c>
      <c r="M70" s="29">
        <v>3</v>
      </c>
      <c r="N70" s="29">
        <v>7</v>
      </c>
      <c r="O70" s="30">
        <v>3</v>
      </c>
      <c r="P70" s="30"/>
      <c r="Q70" s="30"/>
      <c r="R70" s="30"/>
      <c r="S70" s="30"/>
      <c r="T70" s="30"/>
      <c r="U70" s="30"/>
      <c r="V70" s="30">
        <v>8</v>
      </c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>
        <v>0.5</v>
      </c>
      <c r="AQ70" s="30">
        <v>1</v>
      </c>
      <c r="AR70" s="30"/>
      <c r="AS70" s="30"/>
      <c r="AT70" s="30"/>
      <c r="AU70" s="30"/>
      <c r="AV70" s="30">
        <v>35</v>
      </c>
      <c r="AW70" s="30"/>
      <c r="AX70" s="30">
        <v>40.5</v>
      </c>
      <c r="AY70" s="30"/>
      <c r="AZ70" s="30"/>
      <c r="BA70" s="30">
        <v>2</v>
      </c>
      <c r="BB70" s="30"/>
      <c r="BC70" s="30"/>
      <c r="BD70" s="30"/>
      <c r="BE70" s="30"/>
      <c r="BF70" s="30"/>
      <c r="BG70" s="30"/>
      <c r="BH70" s="30"/>
      <c r="BI70" s="29"/>
      <c r="BJ70" s="29"/>
      <c r="BK70" s="29"/>
      <c r="BL70" s="29"/>
      <c r="BM70" s="29"/>
      <c r="BN70" s="29"/>
      <c r="BO70" s="29"/>
      <c r="BP70" s="29"/>
      <c r="BQ70" s="29">
        <v>8</v>
      </c>
      <c r="BR70" s="29"/>
      <c r="BS70" s="29"/>
      <c r="BT70" s="29"/>
      <c r="BU70" s="29">
        <v>76</v>
      </c>
      <c r="BV70" s="29">
        <v>72</v>
      </c>
      <c r="BW70" s="29"/>
      <c r="BX70" s="29"/>
      <c r="BY70" s="29"/>
      <c r="BZ70" s="29"/>
      <c r="CA70" s="29">
        <v>33</v>
      </c>
      <c r="CB70" s="18"/>
    </row>
    <row r="71" spans="1:80" ht="16" x14ac:dyDescent="0.2">
      <c r="A71" s="12" t="s">
        <v>4</v>
      </c>
      <c r="B71" s="12" t="s">
        <v>147</v>
      </c>
      <c r="C71" s="12" t="s">
        <v>146</v>
      </c>
      <c r="D71" s="12">
        <v>3</v>
      </c>
      <c r="E71" s="2" t="str">
        <f t="shared" si="4"/>
        <v>s2t3p3</v>
      </c>
      <c r="F71" s="12">
        <v>20</v>
      </c>
      <c r="G71" s="3" t="s">
        <v>115</v>
      </c>
      <c r="H71" s="3" t="s">
        <v>71</v>
      </c>
      <c r="I71" s="13">
        <v>0.48036479999999976</v>
      </c>
      <c r="J71" s="32">
        <v>0.126</v>
      </c>
      <c r="K71" s="28">
        <v>40786</v>
      </c>
      <c r="L71" s="23">
        <f t="shared" si="5"/>
        <v>100</v>
      </c>
      <c r="M71" s="29">
        <v>6</v>
      </c>
      <c r="N71" s="29">
        <v>9</v>
      </c>
      <c r="O71" s="30">
        <v>0.5</v>
      </c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>
        <v>0.5</v>
      </c>
      <c r="AQ71" s="30"/>
      <c r="AR71" s="30"/>
      <c r="AS71" s="30"/>
      <c r="AT71" s="30"/>
      <c r="AU71" s="30"/>
      <c r="AV71" s="30">
        <v>84</v>
      </c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>
        <v>156</v>
      </c>
      <c r="BV71" s="29"/>
      <c r="BW71" s="29"/>
      <c r="BX71" s="29"/>
      <c r="BY71" s="29"/>
      <c r="BZ71" s="29"/>
      <c r="CA71" s="29">
        <v>43</v>
      </c>
      <c r="CB71" s="18"/>
    </row>
    <row r="72" spans="1:80" ht="16" x14ac:dyDescent="0.2">
      <c r="A72" s="12" t="s">
        <v>4</v>
      </c>
      <c r="B72" s="12" t="s">
        <v>147</v>
      </c>
      <c r="C72" s="12" t="s">
        <v>146</v>
      </c>
      <c r="D72" s="12">
        <v>4</v>
      </c>
      <c r="E72" s="2" t="str">
        <f t="shared" si="4"/>
        <v>s2t3p4</v>
      </c>
      <c r="F72" s="12">
        <v>30</v>
      </c>
      <c r="G72" s="3" t="s">
        <v>116</v>
      </c>
      <c r="H72" s="3" t="s">
        <v>117</v>
      </c>
      <c r="I72" s="13">
        <v>0.14279879999999978</v>
      </c>
      <c r="J72" s="32">
        <v>-0.223</v>
      </c>
      <c r="K72" s="28">
        <v>40786</v>
      </c>
      <c r="L72" s="23">
        <f t="shared" si="5"/>
        <v>100</v>
      </c>
      <c r="M72" s="29">
        <v>75</v>
      </c>
      <c r="N72" s="29"/>
      <c r="O72" s="30">
        <v>25</v>
      </c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29">
        <v>100</v>
      </c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18"/>
    </row>
    <row r="73" spans="1:80" ht="16" x14ac:dyDescent="0.2">
      <c r="A73" s="12" t="s">
        <v>4</v>
      </c>
      <c r="B73" s="12" t="s">
        <v>147</v>
      </c>
      <c r="C73" s="12" t="s">
        <v>146</v>
      </c>
      <c r="D73" s="12">
        <v>5</v>
      </c>
      <c r="E73" s="2" t="str">
        <f t="shared" si="4"/>
        <v>s2t3p5</v>
      </c>
      <c r="F73" s="12">
        <v>40</v>
      </c>
      <c r="G73" s="3" t="s">
        <v>116</v>
      </c>
      <c r="H73" s="3" t="s">
        <v>75</v>
      </c>
      <c r="I73" s="13">
        <v>0.44035979999999986</v>
      </c>
      <c r="J73" s="32">
        <v>9.7000000000000003E-2</v>
      </c>
      <c r="K73" s="28">
        <v>40786</v>
      </c>
      <c r="L73" s="23">
        <f t="shared" si="5"/>
        <v>100</v>
      </c>
      <c r="M73" s="29">
        <v>2</v>
      </c>
      <c r="N73" s="29">
        <v>15</v>
      </c>
      <c r="O73" s="30">
        <v>0.5</v>
      </c>
      <c r="P73" s="30"/>
      <c r="Q73" s="30"/>
      <c r="R73" s="30"/>
      <c r="S73" s="30"/>
      <c r="T73" s="30"/>
      <c r="U73" s="30"/>
      <c r="V73" s="30">
        <v>1</v>
      </c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>
        <v>80.5</v>
      </c>
      <c r="AW73" s="30"/>
      <c r="AX73" s="30">
        <v>1</v>
      </c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>
        <v>114</v>
      </c>
      <c r="BV73" s="29"/>
      <c r="BW73" s="29"/>
      <c r="BX73" s="29"/>
      <c r="BY73" s="29"/>
      <c r="BZ73" s="29"/>
      <c r="CA73" s="29">
        <v>51</v>
      </c>
      <c r="CB73" s="18"/>
    </row>
    <row r="74" spans="1:80" ht="16" x14ac:dyDescent="0.2">
      <c r="A74" s="12" t="s">
        <v>4</v>
      </c>
      <c r="B74" s="12" t="s">
        <v>147</v>
      </c>
      <c r="C74" s="12" t="s">
        <v>146</v>
      </c>
      <c r="D74" s="12">
        <v>6</v>
      </c>
      <c r="E74" s="2" t="str">
        <f t="shared" si="4"/>
        <v>s2t3p6</v>
      </c>
      <c r="F74" s="12">
        <v>50</v>
      </c>
      <c r="G74" s="3" t="s">
        <v>118</v>
      </c>
      <c r="H74" s="3" t="s">
        <v>77</v>
      </c>
      <c r="I74" s="13">
        <v>0.44645580000000001</v>
      </c>
      <c r="J74" s="32">
        <v>7.9000000000000001E-2</v>
      </c>
      <c r="K74" s="28">
        <v>40786</v>
      </c>
      <c r="L74" s="23">
        <f t="shared" si="5"/>
        <v>100</v>
      </c>
      <c r="M74" s="29">
        <v>2</v>
      </c>
      <c r="N74" s="29">
        <v>8</v>
      </c>
      <c r="O74" s="30"/>
      <c r="P74" s="30"/>
      <c r="Q74" s="30"/>
      <c r="R74" s="30"/>
      <c r="S74" s="30"/>
      <c r="T74" s="30"/>
      <c r="U74" s="30"/>
      <c r="V74" s="30">
        <v>0.5</v>
      </c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>
        <v>89.5</v>
      </c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>
        <v>122</v>
      </c>
      <c r="BV74" s="29"/>
      <c r="BW74" s="29"/>
      <c r="BX74" s="29"/>
      <c r="BY74" s="29"/>
      <c r="BZ74" s="29"/>
      <c r="CA74" s="29">
        <v>45</v>
      </c>
      <c r="CB74" s="18"/>
    </row>
    <row r="75" spans="1:80" ht="16" x14ac:dyDescent="0.2">
      <c r="A75" s="12" t="s">
        <v>4</v>
      </c>
      <c r="B75" s="12" t="s">
        <v>147</v>
      </c>
      <c r="C75" s="12" t="s">
        <v>146</v>
      </c>
      <c r="D75" s="12">
        <v>7</v>
      </c>
      <c r="E75" s="2" t="str">
        <f t="shared" si="4"/>
        <v>s2t3p7</v>
      </c>
      <c r="F75" s="12">
        <v>60</v>
      </c>
      <c r="G75" s="3" t="s">
        <v>118</v>
      </c>
      <c r="H75" s="3" t="s">
        <v>79</v>
      </c>
      <c r="I75" s="13">
        <v>0.47579279999999985</v>
      </c>
      <c r="J75" s="32">
        <v>0.13100000000000001</v>
      </c>
      <c r="K75" s="28">
        <v>40786</v>
      </c>
      <c r="L75" s="23">
        <f t="shared" si="5"/>
        <v>100</v>
      </c>
      <c r="M75" s="29">
        <v>1</v>
      </c>
      <c r="N75" s="29">
        <v>9</v>
      </c>
      <c r="O75" s="30"/>
      <c r="P75" s="30"/>
      <c r="Q75" s="30"/>
      <c r="R75" s="30"/>
      <c r="S75" s="30"/>
      <c r="T75" s="30"/>
      <c r="U75" s="30"/>
      <c r="V75" s="30">
        <v>12</v>
      </c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>
        <v>78</v>
      </c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29"/>
      <c r="BJ75" s="29"/>
      <c r="BK75" s="29"/>
      <c r="BL75" s="29"/>
      <c r="BM75" s="29"/>
      <c r="BN75" s="29"/>
      <c r="BO75" s="29"/>
      <c r="BP75" s="29"/>
      <c r="BQ75" s="29">
        <v>3</v>
      </c>
      <c r="BR75" s="29"/>
      <c r="BS75" s="29"/>
      <c r="BT75" s="29"/>
      <c r="BU75" s="29">
        <v>85</v>
      </c>
      <c r="BV75" s="29"/>
      <c r="BW75" s="29"/>
      <c r="BX75" s="29"/>
      <c r="BY75" s="29"/>
      <c r="BZ75" s="29"/>
      <c r="CA75" s="29">
        <v>51</v>
      </c>
      <c r="CB75" s="18"/>
    </row>
    <row r="76" spans="1:80" ht="16" x14ac:dyDescent="0.2">
      <c r="A76" s="12" t="s">
        <v>4</v>
      </c>
      <c r="B76" s="12" t="s">
        <v>147</v>
      </c>
      <c r="C76" s="12" t="s">
        <v>146</v>
      </c>
      <c r="D76" s="12">
        <v>8</v>
      </c>
      <c r="E76" s="2" t="str">
        <f t="shared" si="4"/>
        <v>s2t3p8</v>
      </c>
      <c r="F76" s="12">
        <v>70</v>
      </c>
      <c r="G76" s="3" t="s">
        <v>119</v>
      </c>
      <c r="H76" s="3" t="s">
        <v>120</v>
      </c>
      <c r="I76" s="13">
        <v>0.52227479999999982</v>
      </c>
      <c r="J76" s="32">
        <v>0.153</v>
      </c>
      <c r="K76" s="28">
        <v>40786</v>
      </c>
      <c r="L76" s="23">
        <f t="shared" si="5"/>
        <v>100</v>
      </c>
      <c r="M76" s="29">
        <v>8</v>
      </c>
      <c r="N76" s="29">
        <v>12</v>
      </c>
      <c r="O76" s="30"/>
      <c r="P76" s="30"/>
      <c r="Q76" s="30"/>
      <c r="R76" s="30"/>
      <c r="S76" s="30"/>
      <c r="T76" s="30"/>
      <c r="U76" s="30"/>
      <c r="V76" s="30">
        <v>5</v>
      </c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>
        <v>0.5</v>
      </c>
      <c r="AR76" s="30"/>
      <c r="AS76" s="30"/>
      <c r="AT76" s="30"/>
      <c r="AU76" s="30"/>
      <c r="AV76" s="30">
        <v>64.5</v>
      </c>
      <c r="AW76" s="30"/>
      <c r="AX76" s="30">
        <v>10</v>
      </c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29"/>
      <c r="BJ76" s="29"/>
      <c r="BK76" s="29"/>
      <c r="BL76" s="29"/>
      <c r="BM76" s="29"/>
      <c r="BN76" s="29"/>
      <c r="BO76" s="29"/>
      <c r="BP76" s="29"/>
      <c r="BQ76" s="29">
        <v>0</v>
      </c>
      <c r="BR76" s="29"/>
      <c r="BS76" s="29"/>
      <c r="BT76" s="29"/>
      <c r="BU76" s="29">
        <v>87</v>
      </c>
      <c r="BV76" s="29">
        <v>0</v>
      </c>
      <c r="BW76" s="29"/>
      <c r="BX76" s="29"/>
      <c r="BY76" s="29"/>
      <c r="BZ76" s="29"/>
      <c r="CA76" s="29">
        <v>55</v>
      </c>
      <c r="CB76" s="18"/>
    </row>
    <row r="77" spans="1:80" ht="16" x14ac:dyDescent="0.2">
      <c r="A77" s="12" t="s">
        <v>4</v>
      </c>
      <c r="B77" s="12" t="s">
        <v>147</v>
      </c>
      <c r="C77" s="12" t="s">
        <v>146</v>
      </c>
      <c r="D77" s="12">
        <v>9</v>
      </c>
      <c r="E77" s="2" t="str">
        <f t="shared" si="4"/>
        <v>s2t3p9</v>
      </c>
      <c r="F77" s="12">
        <v>80</v>
      </c>
      <c r="G77" s="3" t="s">
        <v>119</v>
      </c>
      <c r="H77" s="3" t="s">
        <v>83</v>
      </c>
      <c r="I77" s="13">
        <v>0.50170079999999984</v>
      </c>
      <c r="J77" s="32">
        <v>0.185</v>
      </c>
      <c r="K77" s="28">
        <v>40786</v>
      </c>
      <c r="L77" s="23">
        <f t="shared" si="5"/>
        <v>100</v>
      </c>
      <c r="M77" s="30">
        <v>42</v>
      </c>
      <c r="N77" s="29">
        <v>1</v>
      </c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>
        <v>0.5</v>
      </c>
      <c r="AQ77" s="30"/>
      <c r="AR77" s="30"/>
      <c r="AS77" s="30"/>
      <c r="AT77" s="30"/>
      <c r="AU77" s="30"/>
      <c r="AV77" s="30">
        <v>44.5</v>
      </c>
      <c r="AW77" s="30"/>
      <c r="AX77" s="30">
        <v>12</v>
      </c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29">
        <v>40</v>
      </c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>
        <v>131</v>
      </c>
      <c r="BV77" s="29">
        <v>0</v>
      </c>
      <c r="BW77" s="29"/>
      <c r="BX77" s="29"/>
      <c r="BY77" s="29"/>
      <c r="BZ77" s="29"/>
      <c r="CA77" s="29">
        <v>32</v>
      </c>
      <c r="CB77" s="18"/>
    </row>
    <row r="78" spans="1:80" ht="16" x14ac:dyDescent="0.2">
      <c r="A78" s="12" t="s">
        <v>4</v>
      </c>
      <c r="B78" s="12" t="s">
        <v>147</v>
      </c>
      <c r="C78" s="12" t="s">
        <v>146</v>
      </c>
      <c r="D78" s="12">
        <v>10</v>
      </c>
      <c r="E78" s="2" t="str">
        <f t="shared" si="4"/>
        <v>s2t3p10</v>
      </c>
      <c r="F78" s="12">
        <v>90</v>
      </c>
      <c r="G78" s="3" t="s">
        <v>121</v>
      </c>
      <c r="H78" s="3" t="s">
        <v>85</v>
      </c>
      <c r="I78" s="13">
        <v>0.54132479999999983</v>
      </c>
      <c r="J78" s="32">
        <v>0.184</v>
      </c>
      <c r="K78" s="28">
        <v>40786</v>
      </c>
      <c r="L78" s="23">
        <f t="shared" si="5"/>
        <v>100</v>
      </c>
      <c r="M78" s="29">
        <v>10</v>
      </c>
      <c r="N78" s="29">
        <v>10</v>
      </c>
      <c r="O78" s="30">
        <v>0.5</v>
      </c>
      <c r="P78" s="30"/>
      <c r="Q78" s="30"/>
      <c r="R78" s="30"/>
      <c r="S78" s="30"/>
      <c r="T78" s="30"/>
      <c r="U78" s="30"/>
      <c r="V78" s="30">
        <v>8</v>
      </c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>
        <v>70.5</v>
      </c>
      <c r="AW78" s="30"/>
      <c r="AX78" s="30">
        <v>0.5</v>
      </c>
      <c r="AY78" s="30"/>
      <c r="AZ78" s="30"/>
      <c r="BA78" s="30">
        <v>0.5</v>
      </c>
      <c r="BB78" s="30"/>
      <c r="BC78" s="30"/>
      <c r="BD78" s="30"/>
      <c r="BE78" s="30"/>
      <c r="BF78" s="30"/>
      <c r="BG78" s="30"/>
      <c r="BH78" s="30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>
        <v>87</v>
      </c>
      <c r="BV78" s="29"/>
      <c r="BW78" s="29"/>
      <c r="BX78" s="29"/>
      <c r="BY78" s="29"/>
      <c r="BZ78" s="29"/>
      <c r="CA78" s="29">
        <v>42</v>
      </c>
      <c r="CB78" s="18"/>
    </row>
    <row r="79" spans="1:80" ht="16" x14ac:dyDescent="0.2">
      <c r="A79" s="12" t="s">
        <v>4</v>
      </c>
      <c r="B79" s="12" t="s">
        <v>147</v>
      </c>
      <c r="C79" s="12" t="s">
        <v>146</v>
      </c>
      <c r="D79" s="12">
        <v>11</v>
      </c>
      <c r="E79" s="2" t="str">
        <f t="shared" si="4"/>
        <v>s2t3p11</v>
      </c>
      <c r="F79" s="12">
        <v>100</v>
      </c>
      <c r="G79" s="3" t="s">
        <v>121</v>
      </c>
      <c r="H79" s="3" t="s">
        <v>122</v>
      </c>
      <c r="I79" s="13">
        <v>0.5706618</v>
      </c>
      <c r="J79" s="32">
        <v>0.217</v>
      </c>
      <c r="K79" s="28">
        <v>40786</v>
      </c>
      <c r="L79" s="23">
        <f t="shared" si="5"/>
        <v>100</v>
      </c>
      <c r="M79" s="29">
        <v>2</v>
      </c>
      <c r="N79" s="29">
        <v>20</v>
      </c>
      <c r="O79" s="30"/>
      <c r="P79" s="30"/>
      <c r="Q79" s="30"/>
      <c r="R79" s="30"/>
      <c r="S79" s="30"/>
      <c r="T79" s="30"/>
      <c r="U79" s="30"/>
      <c r="V79" s="30">
        <v>72.5</v>
      </c>
      <c r="W79" s="30"/>
      <c r="X79" s="30"/>
      <c r="Y79" s="30"/>
      <c r="Z79" s="30"/>
      <c r="AA79" s="30"/>
      <c r="AB79" s="30"/>
      <c r="AC79" s="30"/>
      <c r="AD79" s="30">
        <v>0.5</v>
      </c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>
        <v>3</v>
      </c>
      <c r="AQ79" s="30">
        <v>0.5</v>
      </c>
      <c r="AR79" s="30"/>
      <c r="AS79" s="30"/>
      <c r="AT79" s="30"/>
      <c r="AU79" s="30"/>
      <c r="AV79" s="30"/>
      <c r="AW79" s="30"/>
      <c r="AX79" s="30"/>
      <c r="AY79" s="30"/>
      <c r="AZ79" s="30"/>
      <c r="BA79" s="30">
        <v>1</v>
      </c>
      <c r="BB79" s="30"/>
      <c r="BC79" s="30">
        <v>0.5</v>
      </c>
      <c r="BD79" s="30"/>
      <c r="BE79" s="30"/>
      <c r="BF79" s="30"/>
      <c r="BG79" s="30"/>
      <c r="BH79" s="30"/>
      <c r="BI79" s="29"/>
      <c r="BJ79" s="29"/>
      <c r="BK79" s="29"/>
      <c r="BL79" s="29"/>
      <c r="BM79" s="29"/>
      <c r="BN79" s="29"/>
      <c r="BO79" s="29"/>
      <c r="BP79" s="29"/>
      <c r="BQ79" s="29">
        <v>39</v>
      </c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18"/>
    </row>
    <row r="80" spans="1:80" ht="16" x14ac:dyDescent="0.2">
      <c r="A80" s="12" t="s">
        <v>4</v>
      </c>
      <c r="B80" s="12" t="s">
        <v>147</v>
      </c>
      <c r="C80" s="12" t="s">
        <v>146</v>
      </c>
      <c r="D80" s="12">
        <v>12</v>
      </c>
      <c r="E80" s="2" t="str">
        <f t="shared" si="4"/>
        <v>s2t3p12</v>
      </c>
      <c r="F80" s="12">
        <v>110</v>
      </c>
      <c r="G80" s="3" t="s">
        <v>123</v>
      </c>
      <c r="H80" s="3" t="s">
        <v>88</v>
      </c>
      <c r="I80" s="13">
        <v>0.57637679999999991</v>
      </c>
      <c r="J80" s="32">
        <v>0.24399999999999999</v>
      </c>
      <c r="K80" s="28">
        <v>40786</v>
      </c>
      <c r="L80" s="23">
        <f t="shared" si="5"/>
        <v>100</v>
      </c>
      <c r="M80" s="29">
        <v>2</v>
      </c>
      <c r="N80" s="29">
        <v>3</v>
      </c>
      <c r="O80" s="30"/>
      <c r="P80" s="30"/>
      <c r="Q80" s="30"/>
      <c r="R80" s="30"/>
      <c r="S80" s="30"/>
      <c r="T80" s="30"/>
      <c r="U80" s="30"/>
      <c r="V80" s="30">
        <v>30.5</v>
      </c>
      <c r="W80" s="30"/>
      <c r="X80" s="30"/>
      <c r="Y80" s="30"/>
      <c r="Z80" s="30"/>
      <c r="AA80" s="30"/>
      <c r="AB80" s="30">
        <v>10</v>
      </c>
      <c r="AC80" s="30"/>
      <c r="AD80" s="30">
        <v>10</v>
      </c>
      <c r="AE80" s="30"/>
      <c r="AF80" s="30"/>
      <c r="AG80" s="30"/>
      <c r="AH80" s="30"/>
      <c r="AI80" s="30"/>
      <c r="AJ80" s="30"/>
      <c r="AK80" s="30">
        <v>12</v>
      </c>
      <c r="AL80" s="30"/>
      <c r="AM80" s="30"/>
      <c r="AN80" s="30"/>
      <c r="AO80" s="30"/>
      <c r="AP80" s="30">
        <v>5</v>
      </c>
      <c r="AQ80" s="30">
        <v>0.5</v>
      </c>
      <c r="AR80" s="30"/>
      <c r="AS80" s="30"/>
      <c r="AT80" s="30"/>
      <c r="AU80" s="30"/>
      <c r="AV80" s="30"/>
      <c r="AW80" s="30"/>
      <c r="AX80" s="30"/>
      <c r="AY80" s="30"/>
      <c r="AZ80" s="30"/>
      <c r="BA80" s="30">
        <v>15</v>
      </c>
      <c r="BB80" s="30"/>
      <c r="BC80" s="30">
        <v>12</v>
      </c>
      <c r="BD80" s="30"/>
      <c r="BE80" s="30"/>
      <c r="BF80" s="30"/>
      <c r="BG80" s="30"/>
      <c r="BH80" s="30"/>
      <c r="BI80" s="29"/>
      <c r="BJ80" s="29"/>
      <c r="BK80" s="29"/>
      <c r="BL80" s="29"/>
      <c r="BM80" s="29"/>
      <c r="BN80" s="29"/>
      <c r="BO80" s="29"/>
      <c r="BP80" s="29"/>
      <c r="BQ80" s="29">
        <v>14</v>
      </c>
      <c r="BR80" s="29">
        <v>24</v>
      </c>
      <c r="BS80" s="29"/>
      <c r="BT80" s="29"/>
      <c r="BU80" s="29"/>
      <c r="BV80" s="29"/>
      <c r="BW80" s="29"/>
      <c r="BX80" s="29"/>
      <c r="BY80" s="29"/>
      <c r="BZ80" s="29"/>
      <c r="CA80" s="29"/>
      <c r="CB80" s="18"/>
    </row>
    <row r="81" spans="1:80" ht="16" x14ac:dyDescent="0.2">
      <c r="A81" s="12" t="s">
        <v>4</v>
      </c>
      <c r="B81" s="12" t="s">
        <v>147</v>
      </c>
      <c r="C81" s="12" t="s">
        <v>146</v>
      </c>
      <c r="D81" s="12">
        <v>13</v>
      </c>
      <c r="E81" s="2" t="str">
        <f t="shared" si="4"/>
        <v>s2t3p13</v>
      </c>
      <c r="F81" s="12">
        <v>120</v>
      </c>
      <c r="G81" s="3" t="s">
        <v>123</v>
      </c>
      <c r="H81" s="3" t="s">
        <v>91</v>
      </c>
      <c r="I81" s="13">
        <v>0.66210179999999985</v>
      </c>
      <c r="J81" s="32">
        <v>0.33800000000000002</v>
      </c>
      <c r="K81" s="28">
        <v>40785</v>
      </c>
      <c r="L81" s="23">
        <f t="shared" si="5"/>
        <v>100</v>
      </c>
      <c r="M81" s="29">
        <v>1</v>
      </c>
      <c r="N81" s="29">
        <v>20</v>
      </c>
      <c r="O81" s="30"/>
      <c r="P81" s="30"/>
      <c r="Q81" s="30"/>
      <c r="R81" s="30"/>
      <c r="S81" s="30"/>
      <c r="T81" s="30"/>
      <c r="U81" s="30"/>
      <c r="V81" s="30">
        <v>7</v>
      </c>
      <c r="W81" s="30"/>
      <c r="X81" s="30"/>
      <c r="Y81" s="30"/>
      <c r="Z81" s="30"/>
      <c r="AA81" s="30">
        <v>15</v>
      </c>
      <c r="AB81" s="30">
        <v>35.5</v>
      </c>
      <c r="AC81" s="30"/>
      <c r="AD81" s="30">
        <v>0.5</v>
      </c>
      <c r="AE81" s="30"/>
      <c r="AF81" s="30"/>
      <c r="AG81" s="30"/>
      <c r="AH81" s="30"/>
      <c r="AI81" s="30"/>
      <c r="AJ81" s="30"/>
      <c r="AK81" s="30">
        <v>4</v>
      </c>
      <c r="AL81" s="30"/>
      <c r="AM81" s="30"/>
      <c r="AN81" s="30"/>
      <c r="AO81" s="30"/>
      <c r="AP81" s="30"/>
      <c r="AQ81" s="30">
        <v>0.5</v>
      </c>
      <c r="AR81" s="30"/>
      <c r="AS81" s="30"/>
      <c r="AT81" s="30"/>
      <c r="AU81" s="30">
        <v>8</v>
      </c>
      <c r="AV81" s="30"/>
      <c r="AW81" s="30"/>
      <c r="AX81" s="30"/>
      <c r="AY81" s="30"/>
      <c r="AZ81" s="30">
        <v>0.5</v>
      </c>
      <c r="BA81" s="30">
        <v>8</v>
      </c>
      <c r="BB81" s="30"/>
      <c r="BC81" s="30"/>
      <c r="BD81" s="30"/>
      <c r="BE81" s="30"/>
      <c r="BF81" s="30"/>
      <c r="BG81" s="30"/>
      <c r="BH81" s="30"/>
      <c r="BI81" s="29"/>
      <c r="BJ81" s="29"/>
      <c r="BK81" s="29"/>
      <c r="BL81" s="29"/>
      <c r="BM81" s="29"/>
      <c r="BN81" s="29"/>
      <c r="BO81" s="29"/>
      <c r="BP81" s="29"/>
      <c r="BQ81" s="29">
        <v>0</v>
      </c>
      <c r="BR81" s="29">
        <v>23</v>
      </c>
      <c r="BS81" s="29"/>
      <c r="BT81" s="29"/>
      <c r="BU81" s="29"/>
      <c r="BV81" s="29"/>
      <c r="BW81" s="29"/>
      <c r="BX81" s="29">
        <v>55</v>
      </c>
      <c r="BY81" s="29"/>
      <c r="BZ81" s="29"/>
      <c r="CA81" s="29"/>
      <c r="CB81" s="18"/>
    </row>
    <row r="82" spans="1:80" ht="16" x14ac:dyDescent="0.2">
      <c r="A82" s="12" t="s">
        <v>4</v>
      </c>
      <c r="B82" s="12" t="s">
        <v>147</v>
      </c>
      <c r="C82" s="12" t="s">
        <v>146</v>
      </c>
      <c r="D82" s="12">
        <v>14</v>
      </c>
      <c r="E82" s="2" t="str">
        <f t="shared" si="4"/>
        <v>s2t3p14</v>
      </c>
      <c r="F82" s="12">
        <v>130</v>
      </c>
      <c r="G82" s="3" t="s">
        <v>124</v>
      </c>
      <c r="H82" s="3" t="s">
        <v>125</v>
      </c>
      <c r="I82" s="13">
        <v>0.79773779999999994</v>
      </c>
      <c r="J82" s="32">
        <v>0.52100000000000002</v>
      </c>
      <c r="K82" s="28">
        <v>40785</v>
      </c>
      <c r="L82" s="23">
        <f t="shared" si="5"/>
        <v>100</v>
      </c>
      <c r="M82" s="29">
        <v>1</v>
      </c>
      <c r="N82" s="29">
        <v>8</v>
      </c>
      <c r="O82" s="30">
        <v>0.5</v>
      </c>
      <c r="P82" s="30"/>
      <c r="Q82" s="30"/>
      <c r="R82" s="30"/>
      <c r="S82" s="30"/>
      <c r="T82" s="30">
        <v>16</v>
      </c>
      <c r="U82" s="30"/>
      <c r="V82" s="30">
        <v>18</v>
      </c>
      <c r="W82" s="30">
        <v>1</v>
      </c>
      <c r="X82" s="30"/>
      <c r="Y82" s="30"/>
      <c r="Z82" s="30"/>
      <c r="AA82" s="30">
        <v>24.5</v>
      </c>
      <c r="AB82" s="30">
        <v>7</v>
      </c>
      <c r="AC82" s="30"/>
      <c r="AD82" s="30"/>
      <c r="AE82" s="30"/>
      <c r="AF82" s="30"/>
      <c r="AG82" s="30"/>
      <c r="AH82" s="30"/>
      <c r="AI82" s="30"/>
      <c r="AJ82" s="30"/>
      <c r="AK82" s="30">
        <v>2</v>
      </c>
      <c r="AL82" s="30"/>
      <c r="AM82" s="30"/>
      <c r="AN82" s="30"/>
      <c r="AO82" s="30"/>
      <c r="AP82" s="30"/>
      <c r="AQ82" s="30"/>
      <c r="AR82" s="30"/>
      <c r="AS82" s="30"/>
      <c r="AT82" s="30"/>
      <c r="AU82" s="30">
        <v>5</v>
      </c>
      <c r="AV82" s="30"/>
      <c r="AW82" s="30"/>
      <c r="AX82" s="30">
        <v>17</v>
      </c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29"/>
      <c r="BJ82" s="29"/>
      <c r="BK82" s="29">
        <v>25</v>
      </c>
      <c r="BL82" s="29"/>
      <c r="BM82" s="29"/>
      <c r="BN82" s="29"/>
      <c r="BO82" s="29"/>
      <c r="BP82" s="29"/>
      <c r="BQ82" s="29">
        <v>5</v>
      </c>
      <c r="BR82" s="29">
        <v>13</v>
      </c>
      <c r="BS82" s="29"/>
      <c r="BT82" s="29"/>
      <c r="BU82" s="29"/>
      <c r="BV82" s="29">
        <v>10</v>
      </c>
      <c r="BW82" s="29"/>
      <c r="BX82" s="29">
        <v>61</v>
      </c>
      <c r="BY82" s="29"/>
      <c r="BZ82" s="29"/>
      <c r="CA82" s="29"/>
      <c r="CB82" s="18"/>
    </row>
    <row r="83" spans="1:80" ht="14" x14ac:dyDescent="0.15">
      <c r="A83" s="12" t="s">
        <v>32</v>
      </c>
      <c r="B83" s="12" t="s">
        <v>151</v>
      </c>
      <c r="C83" s="12" t="s">
        <v>149</v>
      </c>
      <c r="D83" s="12">
        <v>1</v>
      </c>
      <c r="E83" s="2" t="str">
        <f t="shared" si="4"/>
        <v>s3t1p1</v>
      </c>
      <c r="F83" s="12">
        <v>0</v>
      </c>
      <c r="G83" s="3"/>
      <c r="H83" s="3"/>
      <c r="I83" s="13">
        <v>0.40317420000000004</v>
      </c>
      <c r="J83" s="13"/>
      <c r="K83" s="28">
        <v>40792</v>
      </c>
      <c r="L83" s="23">
        <f t="shared" si="5"/>
        <v>100</v>
      </c>
      <c r="M83" s="29">
        <v>5</v>
      </c>
      <c r="N83" s="29">
        <v>7</v>
      </c>
      <c r="O83" s="30"/>
      <c r="P83" s="30"/>
      <c r="Q83" s="30"/>
      <c r="R83" s="30"/>
      <c r="S83" s="30"/>
      <c r="T83" s="30"/>
      <c r="U83" s="30"/>
      <c r="V83" s="30">
        <v>15</v>
      </c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>
        <v>0.5</v>
      </c>
      <c r="AP83" s="30"/>
      <c r="AQ83" s="30">
        <v>1</v>
      </c>
      <c r="AR83" s="30"/>
      <c r="AS83" s="30"/>
      <c r="AT83" s="30"/>
      <c r="AU83" s="30"/>
      <c r="AV83" s="30">
        <v>35.5</v>
      </c>
      <c r="AW83" s="30"/>
      <c r="AX83" s="30">
        <v>35</v>
      </c>
      <c r="AY83" s="30"/>
      <c r="AZ83" s="30"/>
      <c r="BA83" s="30">
        <v>1</v>
      </c>
      <c r="BB83" s="30"/>
      <c r="BC83" s="30"/>
      <c r="BD83" s="30"/>
      <c r="BE83" s="30"/>
      <c r="BF83" s="30"/>
      <c r="BG83" s="30"/>
      <c r="BH83" s="30"/>
      <c r="BI83" s="29"/>
      <c r="BJ83" s="29"/>
      <c r="BK83" s="29"/>
      <c r="BL83" s="29"/>
      <c r="BM83" s="29"/>
      <c r="BN83" s="29"/>
      <c r="BO83" s="29"/>
      <c r="BP83" s="29"/>
      <c r="BQ83" s="29">
        <v>17</v>
      </c>
      <c r="BR83" s="29"/>
      <c r="BS83" s="29"/>
      <c r="BT83" s="29"/>
      <c r="BU83" s="29">
        <v>37</v>
      </c>
      <c r="BV83" s="29">
        <v>52</v>
      </c>
      <c r="BW83" s="29"/>
      <c r="BX83" s="29"/>
      <c r="BY83" s="29"/>
      <c r="BZ83" s="29"/>
      <c r="CA83" s="29">
        <v>48</v>
      </c>
      <c r="CB83" s="18"/>
    </row>
    <row r="84" spans="1:80" ht="14" x14ac:dyDescent="0.15">
      <c r="A84" s="12" t="s">
        <v>32</v>
      </c>
      <c r="B84" s="12" t="s">
        <v>151</v>
      </c>
      <c r="C84" s="12" t="s">
        <v>149</v>
      </c>
      <c r="D84" s="12">
        <v>2</v>
      </c>
      <c r="E84" s="2" t="str">
        <f t="shared" si="4"/>
        <v>s3t1p2</v>
      </c>
      <c r="F84" s="12">
        <v>10</v>
      </c>
      <c r="G84" s="3"/>
      <c r="H84" s="3"/>
      <c r="I84" s="13">
        <v>0.37802819999999993</v>
      </c>
      <c r="J84" s="13"/>
      <c r="K84" s="28">
        <v>40792</v>
      </c>
      <c r="L84" s="23">
        <f t="shared" si="5"/>
        <v>100</v>
      </c>
      <c r="M84" s="29">
        <v>25</v>
      </c>
      <c r="N84" s="29">
        <v>5</v>
      </c>
      <c r="O84" s="30"/>
      <c r="P84" s="30">
        <v>3</v>
      </c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>
        <v>67</v>
      </c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29">
        <v>12</v>
      </c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>
        <v>108</v>
      </c>
      <c r="BV84" s="29"/>
      <c r="BW84" s="29"/>
      <c r="BX84" s="29"/>
      <c r="BY84" s="29"/>
      <c r="BZ84" s="29"/>
      <c r="CA84" s="29">
        <v>51</v>
      </c>
      <c r="CB84" s="18"/>
    </row>
    <row r="85" spans="1:80" ht="14" x14ac:dyDescent="0.15">
      <c r="A85" s="12" t="s">
        <v>32</v>
      </c>
      <c r="B85" s="12" t="s">
        <v>151</v>
      </c>
      <c r="C85" s="12" t="s">
        <v>149</v>
      </c>
      <c r="D85" s="12">
        <v>3</v>
      </c>
      <c r="E85" s="2" t="str">
        <f t="shared" si="4"/>
        <v>s3t1p3</v>
      </c>
      <c r="F85" s="12">
        <v>20</v>
      </c>
      <c r="G85" s="3"/>
      <c r="H85" s="3"/>
      <c r="I85" s="13">
        <v>0.3890771999999999</v>
      </c>
      <c r="J85" s="13"/>
      <c r="K85" s="28">
        <v>40792</v>
      </c>
      <c r="L85" s="23">
        <f t="shared" si="5"/>
        <v>100</v>
      </c>
      <c r="M85" s="29">
        <v>5</v>
      </c>
      <c r="N85" s="29">
        <v>8</v>
      </c>
      <c r="O85" s="30"/>
      <c r="P85" s="30">
        <v>4</v>
      </c>
      <c r="Q85" s="30"/>
      <c r="R85" s="30"/>
      <c r="S85" s="30"/>
      <c r="T85" s="30"/>
      <c r="U85" s="30"/>
      <c r="V85" s="30">
        <v>50</v>
      </c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>
        <v>33</v>
      </c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29">
        <v>5</v>
      </c>
      <c r="BJ85" s="29"/>
      <c r="BK85" s="29"/>
      <c r="BL85" s="29"/>
      <c r="BM85" s="29"/>
      <c r="BN85" s="29"/>
      <c r="BO85" s="29"/>
      <c r="BP85" s="29"/>
      <c r="BQ85" s="29">
        <v>6</v>
      </c>
      <c r="BR85" s="29"/>
      <c r="BS85" s="29"/>
      <c r="BT85" s="29"/>
      <c r="BU85" s="29">
        <v>44</v>
      </c>
      <c r="BV85" s="29"/>
      <c r="BW85" s="29"/>
      <c r="BX85" s="29"/>
      <c r="BY85" s="29"/>
      <c r="BZ85" s="29"/>
      <c r="CA85" s="29">
        <v>40</v>
      </c>
      <c r="CB85" s="18"/>
    </row>
    <row r="86" spans="1:80" ht="14" x14ac:dyDescent="0.15">
      <c r="A86" s="12" t="s">
        <v>32</v>
      </c>
      <c r="B86" s="12" t="s">
        <v>151</v>
      </c>
      <c r="C86" s="12" t="s">
        <v>149</v>
      </c>
      <c r="D86" s="12">
        <v>4</v>
      </c>
      <c r="E86" s="2" t="str">
        <f t="shared" si="4"/>
        <v>s3t1p4</v>
      </c>
      <c r="F86" s="12">
        <v>30</v>
      </c>
      <c r="G86" s="3"/>
      <c r="H86" s="3"/>
      <c r="I86" s="13">
        <v>0.38031419999999999</v>
      </c>
      <c r="J86" s="13"/>
      <c r="K86" s="28">
        <v>40792</v>
      </c>
      <c r="L86" s="23">
        <f t="shared" si="5"/>
        <v>100</v>
      </c>
      <c r="M86" s="29">
        <f>20/90*100</f>
        <v>22.222222222222221</v>
      </c>
      <c r="N86" s="29">
        <f>15/90*100</f>
        <v>16.666666666666664</v>
      </c>
      <c r="O86" s="30">
        <f>1/90*100</f>
        <v>1.1111111111111112</v>
      </c>
      <c r="P86" s="30"/>
      <c r="Q86" s="30"/>
      <c r="R86" s="30"/>
      <c r="S86" s="30"/>
      <c r="T86" s="30"/>
      <c r="U86" s="30"/>
      <c r="V86" s="30">
        <f>27/90*100</f>
        <v>30</v>
      </c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>
        <f>2/90*100</f>
        <v>2.2222222222222223</v>
      </c>
      <c r="AR86" s="30"/>
      <c r="AS86" s="30"/>
      <c r="AT86" s="30"/>
      <c r="AU86" s="30"/>
      <c r="AV86" s="30">
        <f>25/90*100</f>
        <v>27.777777777777779</v>
      </c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29">
        <v>30</v>
      </c>
      <c r="BJ86" s="29"/>
      <c r="BK86" s="29"/>
      <c r="BL86" s="29"/>
      <c r="BM86" s="29"/>
      <c r="BN86" s="29"/>
      <c r="BO86" s="29"/>
      <c r="BP86" s="29"/>
      <c r="BQ86" s="29">
        <v>4</v>
      </c>
      <c r="BR86" s="29"/>
      <c r="BS86" s="29"/>
      <c r="BT86" s="29"/>
      <c r="BU86" s="29">
        <v>36</v>
      </c>
      <c r="BV86" s="29"/>
      <c r="BW86" s="29"/>
      <c r="BX86" s="29"/>
      <c r="BY86" s="29"/>
      <c r="BZ86" s="29"/>
      <c r="CA86" s="29">
        <v>67</v>
      </c>
      <c r="CB86" s="18"/>
    </row>
    <row r="87" spans="1:80" ht="14" x14ac:dyDescent="0.15">
      <c r="A87" s="12" t="s">
        <v>32</v>
      </c>
      <c r="B87" s="12" t="s">
        <v>151</v>
      </c>
      <c r="C87" s="12" t="s">
        <v>149</v>
      </c>
      <c r="D87" s="12">
        <v>5</v>
      </c>
      <c r="E87" s="2" t="str">
        <f t="shared" si="4"/>
        <v>s3t1p5</v>
      </c>
      <c r="F87" s="12">
        <v>40</v>
      </c>
      <c r="G87" s="3"/>
      <c r="H87" s="3"/>
      <c r="I87" s="13">
        <v>0.40774619999999967</v>
      </c>
      <c r="J87" s="13"/>
      <c r="K87" s="28">
        <v>40792</v>
      </c>
      <c r="L87" s="23">
        <f t="shared" si="5"/>
        <v>100</v>
      </c>
      <c r="M87" s="3">
        <v>2</v>
      </c>
      <c r="N87" s="3">
        <v>10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>
        <v>0.5</v>
      </c>
      <c r="AQ87" s="3"/>
      <c r="AR87" s="3"/>
      <c r="AS87" s="3"/>
      <c r="AT87" s="3"/>
      <c r="AU87" s="3"/>
      <c r="AV87" s="3">
        <v>87.5</v>
      </c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>
        <v>15</v>
      </c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>
        <v>66</v>
      </c>
      <c r="BV87" s="3"/>
      <c r="BW87" s="3"/>
      <c r="BX87" s="3"/>
      <c r="BY87" s="3"/>
      <c r="BZ87" s="3"/>
      <c r="CA87" s="3">
        <v>53</v>
      </c>
      <c r="CB87" s="19"/>
    </row>
    <row r="88" spans="1:80" ht="14" x14ac:dyDescent="0.15">
      <c r="A88" s="12" t="s">
        <v>32</v>
      </c>
      <c r="B88" s="12" t="s">
        <v>151</v>
      </c>
      <c r="C88" s="12" t="s">
        <v>149</v>
      </c>
      <c r="D88" s="12">
        <v>6</v>
      </c>
      <c r="E88" s="2" t="str">
        <f t="shared" si="4"/>
        <v>s3t1p6</v>
      </c>
      <c r="F88" s="12">
        <v>50</v>
      </c>
      <c r="G88" s="3"/>
      <c r="H88" s="3"/>
      <c r="I88" s="13">
        <v>0.3848861999999999</v>
      </c>
      <c r="J88" s="13"/>
      <c r="K88" s="28">
        <v>40792</v>
      </c>
      <c r="L88" s="23">
        <f t="shared" si="5"/>
        <v>100</v>
      </c>
      <c r="M88" s="3">
        <v>5</v>
      </c>
      <c r="N88" s="3">
        <v>5</v>
      </c>
      <c r="O88" s="3"/>
      <c r="P88" s="3">
        <v>3</v>
      </c>
      <c r="Q88" s="3"/>
      <c r="R88" s="3"/>
      <c r="S88" s="3"/>
      <c r="T88" s="3"/>
      <c r="U88" s="3"/>
      <c r="V88" s="3">
        <v>21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>
        <v>1</v>
      </c>
      <c r="AR88" s="3"/>
      <c r="AS88" s="3"/>
      <c r="AT88" s="3"/>
      <c r="AU88" s="3"/>
      <c r="AV88" s="3">
        <v>65</v>
      </c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>
        <v>3</v>
      </c>
      <c r="BJ88" s="3"/>
      <c r="BK88" s="3"/>
      <c r="BL88" s="3"/>
      <c r="BM88" s="3"/>
      <c r="BN88" s="3"/>
      <c r="BO88" s="3"/>
      <c r="BP88" s="3"/>
      <c r="BQ88" s="3">
        <v>2</v>
      </c>
      <c r="BR88" s="3"/>
      <c r="BS88" s="3"/>
      <c r="BT88" s="3"/>
      <c r="BU88" s="3">
        <v>32</v>
      </c>
      <c r="BV88" s="3"/>
      <c r="BW88" s="3"/>
      <c r="BX88" s="3"/>
      <c r="BY88" s="3"/>
      <c r="BZ88" s="3"/>
      <c r="CA88" s="3">
        <v>49</v>
      </c>
      <c r="CB88" s="19"/>
    </row>
    <row r="89" spans="1:80" ht="14" x14ac:dyDescent="0.15">
      <c r="A89" s="12" t="s">
        <v>32</v>
      </c>
      <c r="B89" s="12" t="s">
        <v>151</v>
      </c>
      <c r="C89" s="12" t="s">
        <v>149</v>
      </c>
      <c r="D89" s="12">
        <v>7</v>
      </c>
      <c r="E89" s="2" t="str">
        <f t="shared" si="4"/>
        <v>s3t1p7</v>
      </c>
      <c r="F89" s="12">
        <v>60</v>
      </c>
      <c r="G89" s="3"/>
      <c r="H89" s="3"/>
      <c r="I89" s="13">
        <v>0.39898320000000009</v>
      </c>
      <c r="J89" s="13"/>
      <c r="K89" s="28">
        <v>40792</v>
      </c>
      <c r="L89" s="23">
        <f t="shared" si="5"/>
        <v>100</v>
      </c>
      <c r="M89" s="29">
        <v>10</v>
      </c>
      <c r="N89" s="29">
        <v>5</v>
      </c>
      <c r="O89" s="30"/>
      <c r="P89" s="30">
        <v>10</v>
      </c>
      <c r="Q89" s="30"/>
      <c r="R89" s="30"/>
      <c r="S89" s="30"/>
      <c r="T89" s="30"/>
      <c r="U89" s="30"/>
      <c r="V89" s="30">
        <v>8</v>
      </c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>
        <v>67</v>
      </c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29">
        <v>15</v>
      </c>
      <c r="BJ89" s="29"/>
      <c r="BK89" s="29"/>
      <c r="BL89" s="29"/>
      <c r="BM89" s="29"/>
      <c r="BN89" s="29"/>
      <c r="BO89" s="29"/>
      <c r="BP89" s="29"/>
      <c r="BQ89" s="29">
        <v>16</v>
      </c>
      <c r="BR89" s="29"/>
      <c r="BS89" s="29"/>
      <c r="BT89" s="29"/>
      <c r="BU89" s="29">
        <v>56</v>
      </c>
      <c r="BV89" s="29"/>
      <c r="BW89" s="29"/>
      <c r="BX89" s="29"/>
      <c r="BY89" s="29"/>
      <c r="BZ89" s="29"/>
      <c r="CA89" s="29">
        <v>55</v>
      </c>
      <c r="CB89" s="18"/>
    </row>
    <row r="90" spans="1:80" ht="14" x14ac:dyDescent="0.15">
      <c r="A90" s="12" t="s">
        <v>32</v>
      </c>
      <c r="B90" s="12" t="s">
        <v>151</v>
      </c>
      <c r="C90" s="12" t="s">
        <v>149</v>
      </c>
      <c r="D90" s="12">
        <v>8</v>
      </c>
      <c r="E90" s="2" t="str">
        <f t="shared" si="4"/>
        <v>s3t1p8</v>
      </c>
      <c r="F90" s="12">
        <v>70</v>
      </c>
      <c r="G90" s="3"/>
      <c r="H90" s="3"/>
      <c r="I90" s="13">
        <v>0.45270419999999995</v>
      </c>
      <c r="J90" s="13"/>
      <c r="K90" s="28">
        <v>40792</v>
      </c>
      <c r="L90" s="23">
        <f t="shared" si="5"/>
        <v>100</v>
      </c>
      <c r="M90" s="29">
        <v>5</v>
      </c>
      <c r="N90" s="29">
        <v>8</v>
      </c>
      <c r="O90" s="30"/>
      <c r="P90" s="30"/>
      <c r="Q90" s="30"/>
      <c r="R90" s="30"/>
      <c r="S90" s="30"/>
      <c r="T90" s="30"/>
      <c r="U90" s="30"/>
      <c r="V90" s="30">
        <v>35</v>
      </c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>
        <v>1</v>
      </c>
      <c r="AQ90" s="30"/>
      <c r="AR90" s="30"/>
      <c r="AS90" s="30"/>
      <c r="AT90" s="30"/>
      <c r="AU90" s="30"/>
      <c r="AV90" s="30">
        <v>31</v>
      </c>
      <c r="AW90" s="30"/>
      <c r="AX90" s="30">
        <v>20</v>
      </c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29"/>
      <c r="BJ90" s="29"/>
      <c r="BK90" s="29"/>
      <c r="BL90" s="29"/>
      <c r="BM90" s="29"/>
      <c r="BN90" s="29"/>
      <c r="BO90" s="29"/>
      <c r="BP90" s="29"/>
      <c r="BQ90" s="29">
        <v>15</v>
      </c>
      <c r="BR90" s="29"/>
      <c r="BS90" s="29"/>
      <c r="BT90" s="29"/>
      <c r="BU90" s="29">
        <v>16</v>
      </c>
      <c r="BV90" s="29">
        <v>21</v>
      </c>
      <c r="BW90" s="29"/>
      <c r="BX90" s="29"/>
      <c r="BY90" s="29"/>
      <c r="BZ90" s="29"/>
      <c r="CA90" s="29">
        <v>39</v>
      </c>
      <c r="CB90" s="18"/>
    </row>
    <row r="91" spans="1:80" ht="14" x14ac:dyDescent="0.15">
      <c r="A91" s="12" t="s">
        <v>32</v>
      </c>
      <c r="B91" s="12" t="s">
        <v>151</v>
      </c>
      <c r="C91" s="12" t="s">
        <v>149</v>
      </c>
      <c r="D91" s="12">
        <v>9</v>
      </c>
      <c r="E91" s="2" t="str">
        <f t="shared" si="4"/>
        <v>s3t1p9</v>
      </c>
      <c r="F91" s="12">
        <v>80</v>
      </c>
      <c r="G91" s="3"/>
      <c r="H91" s="3"/>
      <c r="I91" s="13">
        <v>0.4988052</v>
      </c>
      <c r="J91" s="13"/>
      <c r="K91" s="28">
        <v>40792</v>
      </c>
      <c r="L91" s="23">
        <f t="shared" si="5"/>
        <v>100</v>
      </c>
      <c r="M91" s="29">
        <v>3</v>
      </c>
      <c r="N91" s="29">
        <v>12</v>
      </c>
      <c r="O91" s="30">
        <v>1</v>
      </c>
      <c r="P91" s="30"/>
      <c r="Q91" s="30"/>
      <c r="R91" s="30"/>
      <c r="S91" s="30"/>
      <c r="T91" s="30"/>
      <c r="U91" s="30"/>
      <c r="V91" s="30">
        <v>5</v>
      </c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>
        <v>3</v>
      </c>
      <c r="AR91" s="30"/>
      <c r="AS91" s="30"/>
      <c r="AT91" s="30"/>
      <c r="AU91" s="30"/>
      <c r="AV91" s="30">
        <v>20</v>
      </c>
      <c r="AW91" s="30"/>
      <c r="AX91" s="30">
        <v>54</v>
      </c>
      <c r="AY91" s="30"/>
      <c r="AZ91" s="30"/>
      <c r="BA91" s="30">
        <v>2</v>
      </c>
      <c r="BB91" s="30"/>
      <c r="BC91" s="30"/>
      <c r="BD91" s="30"/>
      <c r="BE91" s="30"/>
      <c r="BF91" s="30"/>
      <c r="BG91" s="30"/>
      <c r="BH91" s="30"/>
      <c r="BI91" s="29"/>
      <c r="BJ91" s="29"/>
      <c r="BK91" s="29"/>
      <c r="BL91" s="29"/>
      <c r="BM91" s="29"/>
      <c r="BN91" s="29"/>
      <c r="BO91" s="29"/>
      <c r="BP91" s="29"/>
      <c r="BQ91" s="29">
        <v>0</v>
      </c>
      <c r="BR91" s="29"/>
      <c r="BS91" s="29"/>
      <c r="BT91" s="29"/>
      <c r="BU91" s="29">
        <v>12</v>
      </c>
      <c r="BV91" s="29">
        <v>16</v>
      </c>
      <c r="BW91" s="29"/>
      <c r="BX91" s="29"/>
      <c r="BY91" s="29"/>
      <c r="BZ91" s="29"/>
      <c r="CA91" s="29">
        <v>46</v>
      </c>
      <c r="CB91" s="18"/>
    </row>
    <row r="92" spans="1:80" ht="14" x14ac:dyDescent="0.15">
      <c r="A92" s="12" t="s">
        <v>32</v>
      </c>
      <c r="B92" s="12" t="s">
        <v>151</v>
      </c>
      <c r="C92" s="12" t="s">
        <v>149</v>
      </c>
      <c r="D92" s="12">
        <v>10</v>
      </c>
      <c r="E92" s="2" t="str">
        <f t="shared" si="4"/>
        <v>s3t1p10</v>
      </c>
      <c r="F92" s="12">
        <v>90</v>
      </c>
      <c r="G92" s="3"/>
      <c r="H92" s="3"/>
      <c r="I92" s="13">
        <v>0.57233820000000002</v>
      </c>
      <c r="J92" s="13"/>
      <c r="K92" s="28">
        <v>40792</v>
      </c>
      <c r="L92" s="23">
        <f t="shared" si="5"/>
        <v>100</v>
      </c>
      <c r="M92" s="29">
        <v>0.5</v>
      </c>
      <c r="N92" s="29">
        <v>25</v>
      </c>
      <c r="O92" s="30"/>
      <c r="P92" s="30"/>
      <c r="Q92" s="30"/>
      <c r="R92" s="30"/>
      <c r="S92" s="30"/>
      <c r="T92" s="30"/>
      <c r="U92" s="30"/>
      <c r="V92" s="30">
        <v>25</v>
      </c>
      <c r="W92" s="30"/>
      <c r="X92" s="30"/>
      <c r="Y92" s="30"/>
      <c r="Z92" s="30"/>
      <c r="AA92" s="30">
        <v>29.5</v>
      </c>
      <c r="AB92" s="30">
        <v>11</v>
      </c>
      <c r="AC92" s="30">
        <v>0.5</v>
      </c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>
        <v>4</v>
      </c>
      <c r="AV92" s="30"/>
      <c r="AW92" s="30"/>
      <c r="AX92" s="30">
        <v>1</v>
      </c>
      <c r="AY92" s="30"/>
      <c r="AZ92" s="30"/>
      <c r="BA92" s="30">
        <v>0.5</v>
      </c>
      <c r="BB92" s="30"/>
      <c r="BC92" s="30">
        <v>3</v>
      </c>
      <c r="BD92" s="30"/>
      <c r="BE92" s="30"/>
      <c r="BF92" s="30"/>
      <c r="BG92" s="30"/>
      <c r="BH92" s="30"/>
      <c r="BI92" s="29"/>
      <c r="BJ92" s="29">
        <v>7</v>
      </c>
      <c r="BK92" s="29"/>
      <c r="BL92" s="29"/>
      <c r="BM92" s="29"/>
      <c r="BN92" s="29"/>
      <c r="BO92" s="29"/>
      <c r="BP92" s="29"/>
      <c r="BQ92" s="29">
        <v>6</v>
      </c>
      <c r="BR92" s="29">
        <v>11</v>
      </c>
      <c r="BS92" s="29"/>
      <c r="BT92" s="29"/>
      <c r="BU92" s="29"/>
      <c r="BV92" s="29"/>
      <c r="BW92" s="29"/>
      <c r="BX92" s="29">
        <v>65</v>
      </c>
      <c r="BY92" s="29"/>
      <c r="BZ92" s="29"/>
      <c r="CA92" s="29"/>
      <c r="CB92" s="18"/>
    </row>
    <row r="93" spans="1:80" ht="14" x14ac:dyDescent="0.15">
      <c r="A93" s="12" t="s">
        <v>32</v>
      </c>
      <c r="B93" s="12" t="s">
        <v>151</v>
      </c>
      <c r="C93" s="12" t="s">
        <v>149</v>
      </c>
      <c r="D93" s="12">
        <v>11</v>
      </c>
      <c r="E93" s="2" t="str">
        <f t="shared" si="4"/>
        <v>s3t1p11</v>
      </c>
      <c r="F93" s="12">
        <v>100</v>
      </c>
      <c r="G93" s="3"/>
      <c r="H93" s="3"/>
      <c r="I93" s="13">
        <v>0.57995820000000009</v>
      </c>
      <c r="J93" s="13"/>
      <c r="K93" s="28">
        <v>40792</v>
      </c>
      <c r="L93" s="23">
        <f t="shared" si="5"/>
        <v>100</v>
      </c>
      <c r="M93" s="29">
        <v>1</v>
      </c>
      <c r="N93" s="29">
        <v>8</v>
      </c>
      <c r="O93" s="30">
        <v>3</v>
      </c>
      <c r="P93" s="30"/>
      <c r="Q93" s="30"/>
      <c r="R93" s="30"/>
      <c r="S93" s="30"/>
      <c r="T93" s="30">
        <v>2</v>
      </c>
      <c r="U93" s="30"/>
      <c r="V93" s="30">
        <v>10</v>
      </c>
      <c r="W93" s="30"/>
      <c r="X93" s="30"/>
      <c r="Y93" s="30"/>
      <c r="Z93" s="30"/>
      <c r="AA93" s="30">
        <v>3</v>
      </c>
      <c r="AB93" s="30">
        <v>48</v>
      </c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>
        <v>25</v>
      </c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29"/>
      <c r="BJ93" s="29"/>
      <c r="BK93" s="29">
        <v>1</v>
      </c>
      <c r="BL93" s="29"/>
      <c r="BM93" s="29"/>
      <c r="BN93" s="29"/>
      <c r="BO93" s="29"/>
      <c r="BP93" s="29"/>
      <c r="BQ93" s="29">
        <v>7</v>
      </c>
      <c r="BR93" s="29">
        <v>42</v>
      </c>
      <c r="BS93" s="29"/>
      <c r="BT93" s="29"/>
      <c r="BU93" s="29"/>
      <c r="BV93" s="29"/>
      <c r="BW93" s="29"/>
      <c r="BX93" s="29">
        <v>23</v>
      </c>
      <c r="BY93" s="29"/>
      <c r="BZ93" s="29"/>
      <c r="CA93" s="29"/>
      <c r="CB93" s="18"/>
    </row>
    <row r="94" spans="1:80" ht="14" x14ac:dyDescent="0.15">
      <c r="A94" s="12" t="s">
        <v>32</v>
      </c>
      <c r="B94" s="12" t="s">
        <v>151</v>
      </c>
      <c r="C94" s="12" t="s">
        <v>148</v>
      </c>
      <c r="D94" s="12">
        <v>1</v>
      </c>
      <c r="E94" s="2" t="str">
        <f t="shared" si="4"/>
        <v>s3t2p1</v>
      </c>
      <c r="F94" s="12">
        <v>0</v>
      </c>
      <c r="G94" s="3"/>
      <c r="H94" s="3"/>
      <c r="I94" s="13">
        <v>0.27858720000000003</v>
      </c>
      <c r="J94" s="13"/>
      <c r="K94" s="28">
        <v>40793</v>
      </c>
      <c r="L94" s="23">
        <f t="shared" si="5"/>
        <v>100</v>
      </c>
      <c r="M94" s="29">
        <v>3</v>
      </c>
      <c r="N94" s="29">
        <v>7</v>
      </c>
      <c r="O94" s="30"/>
      <c r="P94" s="30"/>
      <c r="Q94" s="30"/>
      <c r="R94" s="30"/>
      <c r="S94" s="30"/>
      <c r="T94" s="30"/>
      <c r="U94" s="30"/>
      <c r="V94" s="30">
        <v>4</v>
      </c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>
        <v>1</v>
      </c>
      <c r="AR94" s="30"/>
      <c r="AS94" s="30"/>
      <c r="AT94" s="30"/>
      <c r="AU94" s="30"/>
      <c r="AV94" s="30">
        <v>70</v>
      </c>
      <c r="AW94" s="30"/>
      <c r="AX94" s="30">
        <v>15</v>
      </c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29"/>
      <c r="BJ94" s="29"/>
      <c r="BK94" s="29"/>
      <c r="BL94" s="29"/>
      <c r="BM94" s="29"/>
      <c r="BN94" s="29"/>
      <c r="BO94" s="29"/>
      <c r="BP94" s="29"/>
      <c r="BQ94" s="29">
        <v>7</v>
      </c>
      <c r="BR94" s="29"/>
      <c r="BS94" s="29"/>
      <c r="BT94" s="29"/>
      <c r="BU94" s="29">
        <v>48</v>
      </c>
      <c r="BV94" s="29"/>
      <c r="BW94" s="29"/>
      <c r="BX94" s="29"/>
      <c r="BY94" s="29"/>
      <c r="BZ94" s="29"/>
      <c r="CA94" s="29">
        <v>85</v>
      </c>
      <c r="CB94" s="18"/>
    </row>
    <row r="95" spans="1:80" ht="14" x14ac:dyDescent="0.15">
      <c r="A95" s="12" t="s">
        <v>32</v>
      </c>
      <c r="B95" s="12" t="s">
        <v>151</v>
      </c>
      <c r="C95" s="12" t="s">
        <v>148</v>
      </c>
      <c r="D95" s="12">
        <v>2</v>
      </c>
      <c r="E95" s="2" t="str">
        <f t="shared" si="4"/>
        <v>s3t2p2</v>
      </c>
      <c r="F95" s="12">
        <v>10</v>
      </c>
      <c r="G95" s="3"/>
      <c r="H95" s="3"/>
      <c r="I95" s="13">
        <v>0.32697420000000016</v>
      </c>
      <c r="J95" s="13"/>
      <c r="K95" s="28">
        <v>40793</v>
      </c>
      <c r="L95" s="23">
        <f t="shared" si="5"/>
        <v>100</v>
      </c>
      <c r="M95" s="29">
        <v>17</v>
      </c>
      <c r="N95" s="29">
        <v>28</v>
      </c>
      <c r="O95" s="30"/>
      <c r="P95" s="30"/>
      <c r="Q95" s="30"/>
      <c r="R95" s="30"/>
      <c r="S95" s="30"/>
      <c r="T95" s="30"/>
      <c r="U95" s="30"/>
      <c r="V95" s="30">
        <v>20</v>
      </c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>
        <v>35</v>
      </c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29">
        <v>10</v>
      </c>
      <c r="BJ95" s="29"/>
      <c r="BK95" s="29"/>
      <c r="BL95" s="29"/>
      <c r="BM95" s="29"/>
      <c r="BN95" s="29"/>
      <c r="BO95" s="29"/>
      <c r="BP95" s="29"/>
      <c r="BQ95" s="29">
        <v>5</v>
      </c>
      <c r="BR95" s="29"/>
      <c r="BS95" s="29"/>
      <c r="BT95" s="29"/>
      <c r="BU95" s="29">
        <v>33</v>
      </c>
      <c r="BV95" s="29"/>
      <c r="BW95" s="29"/>
      <c r="BX95" s="29"/>
      <c r="BY95" s="29"/>
      <c r="BZ95" s="29"/>
      <c r="CA95" s="29">
        <v>90</v>
      </c>
      <c r="CB95" s="18"/>
    </row>
    <row r="96" spans="1:80" ht="14" x14ac:dyDescent="0.15">
      <c r="A96" s="12" t="s">
        <v>32</v>
      </c>
      <c r="B96" s="12" t="s">
        <v>151</v>
      </c>
      <c r="C96" s="12" t="s">
        <v>148</v>
      </c>
      <c r="D96" s="12">
        <v>3</v>
      </c>
      <c r="E96" s="2" t="str">
        <f t="shared" si="4"/>
        <v>s3t2p3</v>
      </c>
      <c r="F96" s="12">
        <v>20</v>
      </c>
      <c r="G96" s="3"/>
      <c r="H96" s="3"/>
      <c r="I96" s="13">
        <v>0.35478720000000036</v>
      </c>
      <c r="J96" s="13"/>
      <c r="K96" s="28">
        <v>40793</v>
      </c>
      <c r="L96" s="23">
        <f t="shared" si="5"/>
        <v>100</v>
      </c>
      <c r="M96" s="29">
        <v>15</v>
      </c>
      <c r="N96" s="29">
        <v>10</v>
      </c>
      <c r="O96" s="30"/>
      <c r="P96" s="30"/>
      <c r="Q96" s="30"/>
      <c r="R96" s="30"/>
      <c r="S96" s="30"/>
      <c r="T96" s="30"/>
      <c r="U96" s="30"/>
      <c r="V96" s="30">
        <v>40</v>
      </c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>
        <v>0.5</v>
      </c>
      <c r="AQ96" s="30"/>
      <c r="AR96" s="30"/>
      <c r="AS96" s="30"/>
      <c r="AT96" s="30"/>
      <c r="AU96" s="30"/>
      <c r="AV96" s="30">
        <v>34.5</v>
      </c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29"/>
      <c r="BJ96" s="29"/>
      <c r="BK96" s="29"/>
      <c r="BL96" s="29"/>
      <c r="BM96" s="29"/>
      <c r="BN96" s="29"/>
      <c r="BO96" s="29"/>
      <c r="BP96" s="29"/>
      <c r="BQ96" s="29">
        <v>60</v>
      </c>
      <c r="BR96" s="29"/>
      <c r="BS96" s="29"/>
      <c r="BT96" s="29"/>
      <c r="BU96" s="29">
        <v>24</v>
      </c>
      <c r="BV96" s="29"/>
      <c r="BW96" s="29"/>
      <c r="BX96" s="29"/>
      <c r="BY96" s="29"/>
      <c r="BZ96" s="29"/>
      <c r="CA96" s="29">
        <v>36</v>
      </c>
      <c r="CB96" s="18"/>
    </row>
    <row r="97" spans="1:80" ht="14" x14ac:dyDescent="0.15">
      <c r="A97" s="12" t="s">
        <v>32</v>
      </c>
      <c r="B97" s="12" t="s">
        <v>151</v>
      </c>
      <c r="C97" s="12" t="s">
        <v>148</v>
      </c>
      <c r="D97" s="12">
        <v>4</v>
      </c>
      <c r="E97" s="2" t="str">
        <f t="shared" si="4"/>
        <v>s3t2p4</v>
      </c>
      <c r="F97" s="12">
        <v>30</v>
      </c>
      <c r="G97" s="3"/>
      <c r="H97" s="3"/>
      <c r="I97" s="13">
        <v>0.10980420000000006</v>
      </c>
      <c r="J97" s="13"/>
      <c r="K97" s="28">
        <v>40793</v>
      </c>
      <c r="L97" s="23">
        <f t="shared" si="5"/>
        <v>100</v>
      </c>
      <c r="M97" s="29">
        <v>84</v>
      </c>
      <c r="N97" s="29">
        <v>1</v>
      </c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>
        <v>15</v>
      </c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29">
        <v>98</v>
      </c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>
        <v>0</v>
      </c>
      <c r="BV97" s="29"/>
      <c r="BW97" s="29"/>
      <c r="BX97" s="29"/>
      <c r="BY97" s="29"/>
      <c r="BZ97" s="29"/>
      <c r="CA97" s="29">
        <v>80</v>
      </c>
      <c r="CB97" s="18"/>
    </row>
    <row r="98" spans="1:80" ht="14" x14ac:dyDescent="0.15">
      <c r="A98" s="12" t="s">
        <v>32</v>
      </c>
      <c r="B98" s="12" t="s">
        <v>151</v>
      </c>
      <c r="C98" s="12" t="s">
        <v>148</v>
      </c>
      <c r="D98" s="12">
        <v>5</v>
      </c>
      <c r="E98" s="2" t="str">
        <f t="shared" ref="E98:E129" si="6">CONCATENATE(B98,C98,"p",D98)</f>
        <v>s3t2p5</v>
      </c>
      <c r="F98" s="12">
        <v>40</v>
      </c>
      <c r="G98" s="3"/>
      <c r="H98" s="3"/>
      <c r="I98" s="13">
        <v>0.32773620000000003</v>
      </c>
      <c r="J98" s="13"/>
      <c r="K98" s="28">
        <v>40793</v>
      </c>
      <c r="L98" s="23">
        <f t="shared" ref="L98:L129" si="7">SUM(M98:BH98)</f>
        <v>100</v>
      </c>
      <c r="M98" s="29">
        <v>25</v>
      </c>
      <c r="N98" s="29">
        <v>10</v>
      </c>
      <c r="O98" s="30"/>
      <c r="P98" s="30"/>
      <c r="Q98" s="30"/>
      <c r="R98" s="30"/>
      <c r="S98" s="30"/>
      <c r="T98" s="30"/>
      <c r="U98" s="30"/>
      <c r="V98" s="30">
        <v>57</v>
      </c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>
        <v>0.5</v>
      </c>
      <c r="AQ98" s="30">
        <v>0.5</v>
      </c>
      <c r="AR98" s="30"/>
      <c r="AS98" s="30"/>
      <c r="AT98" s="30"/>
      <c r="AU98" s="30"/>
      <c r="AV98" s="30">
        <v>7</v>
      </c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29"/>
      <c r="BJ98" s="29"/>
      <c r="BK98" s="29"/>
      <c r="BL98" s="29"/>
      <c r="BM98" s="29"/>
      <c r="BN98" s="29"/>
      <c r="BO98" s="29"/>
      <c r="BP98" s="29"/>
      <c r="BQ98" s="29">
        <v>54</v>
      </c>
      <c r="BR98" s="29"/>
      <c r="BS98" s="29"/>
      <c r="BT98" s="29"/>
      <c r="BU98" s="29">
        <v>0</v>
      </c>
      <c r="BV98" s="29"/>
      <c r="BW98" s="29"/>
      <c r="BX98" s="29"/>
      <c r="BY98" s="29"/>
      <c r="BZ98" s="29"/>
      <c r="CA98" s="29">
        <v>55</v>
      </c>
      <c r="CB98" s="18"/>
    </row>
    <row r="99" spans="1:80" ht="14" x14ac:dyDescent="0.15">
      <c r="A99" s="12" t="s">
        <v>32</v>
      </c>
      <c r="B99" s="12" t="s">
        <v>151</v>
      </c>
      <c r="C99" s="12" t="s">
        <v>148</v>
      </c>
      <c r="D99" s="12">
        <v>6</v>
      </c>
      <c r="E99" s="2" t="str">
        <f t="shared" si="6"/>
        <v>s3t2p6</v>
      </c>
      <c r="F99" s="12">
        <v>50</v>
      </c>
      <c r="G99" s="3"/>
      <c r="H99" s="3"/>
      <c r="I99" s="13">
        <v>0.31935420000000009</v>
      </c>
      <c r="J99" s="13"/>
      <c r="K99" s="28">
        <v>40793</v>
      </c>
      <c r="L99" s="23">
        <f t="shared" si="7"/>
        <v>100</v>
      </c>
      <c r="M99" s="29">
        <v>0.5</v>
      </c>
      <c r="N99" s="29">
        <v>2</v>
      </c>
      <c r="O99" s="30"/>
      <c r="P99" s="30"/>
      <c r="Q99" s="30"/>
      <c r="R99" s="30"/>
      <c r="S99" s="30"/>
      <c r="T99" s="30"/>
      <c r="U99" s="30"/>
      <c r="V99" s="30">
        <v>83.5</v>
      </c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>
        <v>1</v>
      </c>
      <c r="AQ99" s="30">
        <v>1</v>
      </c>
      <c r="AR99" s="30"/>
      <c r="AS99" s="30"/>
      <c r="AT99" s="30"/>
      <c r="AU99" s="30"/>
      <c r="AV99" s="30">
        <v>1</v>
      </c>
      <c r="AW99" s="30"/>
      <c r="AX99" s="30"/>
      <c r="AY99" s="30"/>
      <c r="AZ99" s="30"/>
      <c r="BA99" s="30">
        <v>10</v>
      </c>
      <c r="BB99" s="30"/>
      <c r="BC99" s="30">
        <v>1</v>
      </c>
      <c r="BD99" s="30"/>
      <c r="BE99" s="30"/>
      <c r="BF99" s="30"/>
      <c r="BG99" s="30"/>
      <c r="BH99" s="30"/>
      <c r="BI99" s="29"/>
      <c r="BJ99" s="29"/>
      <c r="BK99" s="29"/>
      <c r="BL99" s="29"/>
      <c r="BM99" s="29"/>
      <c r="BN99" s="29"/>
      <c r="BO99" s="29"/>
      <c r="BP99" s="29"/>
      <c r="BQ99" s="29">
        <v>98</v>
      </c>
      <c r="BR99" s="29"/>
      <c r="BS99" s="29"/>
      <c r="BT99" s="29"/>
      <c r="BU99" s="29">
        <v>10</v>
      </c>
      <c r="BV99" s="29"/>
      <c r="BW99" s="29"/>
      <c r="BX99" s="29"/>
      <c r="BY99" s="29"/>
      <c r="BZ99" s="29"/>
      <c r="CA99" s="29">
        <v>46</v>
      </c>
      <c r="CB99" s="18"/>
    </row>
    <row r="100" spans="1:80" ht="14" x14ac:dyDescent="0.15">
      <c r="A100" s="12" t="s">
        <v>32</v>
      </c>
      <c r="B100" s="12" t="s">
        <v>151</v>
      </c>
      <c r="C100" s="12" t="s">
        <v>148</v>
      </c>
      <c r="D100" s="12">
        <v>7</v>
      </c>
      <c r="E100" s="2" t="str">
        <f t="shared" si="6"/>
        <v>s3t2p7</v>
      </c>
      <c r="F100" s="12">
        <v>60</v>
      </c>
      <c r="G100" s="3"/>
      <c r="H100" s="3"/>
      <c r="I100" s="13">
        <v>0.18829020000000016</v>
      </c>
      <c r="J100" s="13"/>
      <c r="K100" s="28">
        <v>40793</v>
      </c>
      <c r="L100" s="23">
        <f t="shared" si="7"/>
        <v>100</v>
      </c>
      <c r="M100" s="29">
        <v>81</v>
      </c>
      <c r="N100" s="29">
        <v>1</v>
      </c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>
        <v>18</v>
      </c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>
        <v>7</v>
      </c>
      <c r="BV100" s="29"/>
      <c r="BW100" s="29"/>
      <c r="BX100" s="29"/>
      <c r="BY100" s="29"/>
      <c r="BZ100" s="29"/>
      <c r="CA100" s="29">
        <v>44</v>
      </c>
      <c r="CB100" s="18"/>
    </row>
    <row r="101" spans="1:80" ht="14" x14ac:dyDescent="0.15">
      <c r="A101" s="12" t="s">
        <v>32</v>
      </c>
      <c r="B101" s="12" t="s">
        <v>151</v>
      </c>
      <c r="C101" s="12" t="s">
        <v>148</v>
      </c>
      <c r="D101" s="12">
        <v>8</v>
      </c>
      <c r="E101" s="2" t="str">
        <f t="shared" si="6"/>
        <v>s3t2p8</v>
      </c>
      <c r="F101" s="12">
        <v>70</v>
      </c>
      <c r="G101" s="3"/>
      <c r="H101" s="3"/>
      <c r="I101" s="14">
        <v>-3.7642799999999851E-2</v>
      </c>
      <c r="J101" s="14"/>
      <c r="K101" s="28">
        <v>40793</v>
      </c>
      <c r="L101" s="23">
        <f t="shared" si="7"/>
        <v>100</v>
      </c>
      <c r="M101" s="29">
        <v>96.5</v>
      </c>
      <c r="N101" s="29">
        <v>1</v>
      </c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>
        <v>2</v>
      </c>
      <c r="AO101" s="30"/>
      <c r="AP101" s="30"/>
      <c r="AQ101" s="30"/>
      <c r="AR101" s="30"/>
      <c r="AS101" s="30"/>
      <c r="AT101" s="30"/>
      <c r="AU101" s="30"/>
      <c r="AV101" s="30">
        <v>0.5</v>
      </c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29">
        <v>100</v>
      </c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>
        <v>0</v>
      </c>
      <c r="BV101" s="29"/>
      <c r="BW101" s="29"/>
      <c r="BX101" s="29"/>
      <c r="BY101" s="29"/>
      <c r="BZ101" s="29"/>
      <c r="CA101" s="29">
        <v>7</v>
      </c>
      <c r="CB101" s="18"/>
    </row>
    <row r="102" spans="1:80" ht="14" x14ac:dyDescent="0.15">
      <c r="A102" s="12" t="s">
        <v>32</v>
      </c>
      <c r="B102" s="12" t="s">
        <v>151</v>
      </c>
      <c r="C102" s="12" t="s">
        <v>148</v>
      </c>
      <c r="D102" s="12">
        <v>9</v>
      </c>
      <c r="E102" s="2" t="str">
        <f t="shared" si="6"/>
        <v>s3t2p9</v>
      </c>
      <c r="F102" s="12">
        <v>80</v>
      </c>
      <c r="G102" s="3"/>
      <c r="H102" s="3"/>
      <c r="I102" s="13">
        <v>0.28773120000000013</v>
      </c>
      <c r="J102" s="13"/>
      <c r="K102" s="28">
        <v>40793</v>
      </c>
      <c r="L102" s="23">
        <f t="shared" si="7"/>
        <v>100</v>
      </c>
      <c r="M102" s="29">
        <v>30</v>
      </c>
      <c r="N102" s="29">
        <v>5</v>
      </c>
      <c r="O102" s="30"/>
      <c r="P102" s="30"/>
      <c r="Q102" s="30"/>
      <c r="R102" s="30"/>
      <c r="S102" s="30"/>
      <c r="T102" s="30"/>
      <c r="U102" s="30"/>
      <c r="V102" s="30">
        <v>0.5</v>
      </c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>
        <v>64.5</v>
      </c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>
        <v>33</v>
      </c>
      <c r="BU102" s="29"/>
      <c r="BV102" s="29"/>
      <c r="BW102" s="29"/>
      <c r="BX102" s="29"/>
      <c r="BY102" s="29"/>
      <c r="BZ102" s="29">
        <v>66</v>
      </c>
      <c r="CA102" s="29"/>
      <c r="CB102" s="18"/>
    </row>
    <row r="103" spans="1:80" ht="14" x14ac:dyDescent="0.15">
      <c r="A103" s="12" t="s">
        <v>32</v>
      </c>
      <c r="B103" s="12" t="s">
        <v>151</v>
      </c>
      <c r="C103" s="12" t="s">
        <v>148</v>
      </c>
      <c r="D103" s="12">
        <v>10</v>
      </c>
      <c r="E103" s="2" t="str">
        <f t="shared" si="6"/>
        <v>s3t2p10</v>
      </c>
      <c r="F103" s="12">
        <v>90</v>
      </c>
      <c r="G103" s="3"/>
      <c r="H103" s="3"/>
      <c r="I103" s="13">
        <v>0.4481322000000002</v>
      </c>
      <c r="J103" s="13"/>
      <c r="K103" s="28">
        <v>40793</v>
      </c>
      <c r="L103" s="23">
        <f t="shared" si="7"/>
        <v>100.29411764705881</v>
      </c>
      <c r="M103" s="29">
        <f>5/102*100</f>
        <v>4.9019607843137258</v>
      </c>
      <c r="N103" s="29">
        <f>15/102*100</f>
        <v>14.705882352941178</v>
      </c>
      <c r="O103" s="30"/>
      <c r="P103" s="30"/>
      <c r="Q103" s="30"/>
      <c r="R103" s="30"/>
      <c r="S103" s="30">
        <f>7/102*100</f>
        <v>6.8627450980392162</v>
      </c>
      <c r="T103" s="30"/>
      <c r="U103" s="30"/>
      <c r="V103" s="30">
        <f>12/102*100</f>
        <v>11.76470588235294</v>
      </c>
      <c r="W103" s="30"/>
      <c r="X103" s="30"/>
      <c r="Y103" s="30"/>
      <c r="Z103" s="30"/>
      <c r="AA103" s="30"/>
      <c r="AB103" s="30">
        <f>15/102*100</f>
        <v>14.705882352941178</v>
      </c>
      <c r="AC103" s="30"/>
      <c r="AD103" s="30">
        <f>1/102*100</f>
        <v>0.98039215686274506</v>
      </c>
      <c r="AE103" s="30"/>
      <c r="AF103" s="30"/>
      <c r="AG103" s="30"/>
      <c r="AH103" s="30"/>
      <c r="AI103" s="30"/>
      <c r="AJ103" s="30"/>
      <c r="AK103" s="30">
        <f>1/102*100</f>
        <v>0.98039215686274506</v>
      </c>
      <c r="AL103" s="30"/>
      <c r="AM103" s="30"/>
      <c r="AN103" s="30"/>
      <c r="AO103" s="30"/>
      <c r="AP103" s="30"/>
      <c r="AQ103" s="30"/>
      <c r="AR103" s="30">
        <f>10/102*100</f>
        <v>9.8039215686274517</v>
      </c>
      <c r="AS103" s="30"/>
      <c r="AT103" s="30"/>
      <c r="AU103" s="30">
        <f>9/102*100</f>
        <v>8.8235294117647065</v>
      </c>
      <c r="AV103" s="30"/>
      <c r="AW103" s="30"/>
      <c r="AX103" s="30">
        <f>2/102*100</f>
        <v>1.9607843137254901</v>
      </c>
      <c r="AY103" s="30"/>
      <c r="AZ103" s="30"/>
      <c r="BA103" s="30">
        <f>10/102*100</f>
        <v>9.8039215686274517</v>
      </c>
      <c r="BB103" s="30"/>
      <c r="BC103" s="30">
        <v>15</v>
      </c>
      <c r="BD103" s="30"/>
      <c r="BE103" s="30"/>
      <c r="BF103" s="30"/>
      <c r="BG103" s="30"/>
      <c r="BH103" s="30"/>
      <c r="BI103" s="29">
        <v>100</v>
      </c>
      <c r="BJ103" s="29"/>
      <c r="BK103" s="29"/>
      <c r="BL103" s="29"/>
      <c r="BM103" s="29"/>
      <c r="BN103" s="29"/>
      <c r="BO103" s="29"/>
      <c r="BP103" s="29"/>
      <c r="BQ103" s="29">
        <v>2</v>
      </c>
      <c r="BR103" s="29">
        <v>21</v>
      </c>
      <c r="BS103" s="29"/>
      <c r="BT103" s="29">
        <v>16</v>
      </c>
      <c r="BU103" s="29"/>
      <c r="BV103" s="29"/>
      <c r="BW103" s="29"/>
      <c r="BX103" s="29"/>
      <c r="BY103" s="29"/>
      <c r="BZ103" s="29">
        <v>61</v>
      </c>
      <c r="CA103" s="29"/>
      <c r="CB103" s="18"/>
    </row>
    <row r="104" spans="1:80" ht="14" x14ac:dyDescent="0.15">
      <c r="A104" s="12" t="s">
        <v>32</v>
      </c>
      <c r="B104" s="12" t="s">
        <v>151</v>
      </c>
      <c r="C104" s="12" t="s">
        <v>148</v>
      </c>
      <c r="D104" s="12">
        <v>11</v>
      </c>
      <c r="E104" s="2" t="str">
        <f t="shared" si="6"/>
        <v>s3t2p11</v>
      </c>
      <c r="F104" s="12">
        <v>100</v>
      </c>
      <c r="G104" s="3"/>
      <c r="H104" s="3"/>
      <c r="I104" s="13">
        <v>0.48737519999999995</v>
      </c>
      <c r="J104" s="13"/>
      <c r="K104" s="28">
        <v>40793</v>
      </c>
      <c r="L104" s="23">
        <f t="shared" si="7"/>
        <v>100</v>
      </c>
      <c r="M104" s="29">
        <v>1</v>
      </c>
      <c r="N104" s="29">
        <v>7</v>
      </c>
      <c r="O104" s="30">
        <v>3</v>
      </c>
      <c r="P104" s="30"/>
      <c r="Q104" s="30"/>
      <c r="R104" s="30"/>
      <c r="S104" s="30"/>
      <c r="T104" s="30"/>
      <c r="U104" s="30"/>
      <c r="V104" s="30">
        <v>20</v>
      </c>
      <c r="W104" s="30"/>
      <c r="X104" s="30"/>
      <c r="Y104" s="30"/>
      <c r="Z104" s="30"/>
      <c r="AA104" s="30"/>
      <c r="AB104" s="30">
        <v>20</v>
      </c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>
        <v>3</v>
      </c>
      <c r="AS104" s="30"/>
      <c r="AT104" s="30"/>
      <c r="AU104" s="30">
        <v>20</v>
      </c>
      <c r="AV104" s="30"/>
      <c r="AW104" s="30"/>
      <c r="AX104" s="30">
        <v>10</v>
      </c>
      <c r="AY104" s="30"/>
      <c r="AZ104" s="30"/>
      <c r="BA104" s="30">
        <v>1</v>
      </c>
      <c r="BB104" s="30"/>
      <c r="BC104" s="30">
        <v>15</v>
      </c>
      <c r="BD104" s="30"/>
      <c r="BE104" s="30"/>
      <c r="BF104" s="30"/>
      <c r="BG104" s="30"/>
      <c r="BH104" s="30"/>
      <c r="BI104" s="29"/>
      <c r="BJ104" s="29">
        <v>20</v>
      </c>
      <c r="BK104" s="29"/>
      <c r="BL104" s="29">
        <v>5</v>
      </c>
      <c r="BM104" s="29"/>
      <c r="BN104" s="29"/>
      <c r="BO104" s="29"/>
      <c r="BP104" s="29"/>
      <c r="BQ104" s="29">
        <v>3</v>
      </c>
      <c r="BR104" s="29">
        <v>7</v>
      </c>
      <c r="BS104" s="29"/>
      <c r="BT104" s="29">
        <v>9</v>
      </c>
      <c r="BU104" s="29"/>
      <c r="BV104" s="29"/>
      <c r="BW104" s="29"/>
      <c r="BX104" s="29"/>
      <c r="BY104" s="29"/>
      <c r="BZ104" s="29">
        <v>65</v>
      </c>
      <c r="CA104" s="29"/>
      <c r="CB104" s="18"/>
    </row>
    <row r="105" spans="1:80" ht="14" x14ac:dyDescent="0.15">
      <c r="A105" s="12" t="s">
        <v>32</v>
      </c>
      <c r="B105" s="12" t="s">
        <v>151</v>
      </c>
      <c r="C105" s="12" t="s">
        <v>148</v>
      </c>
      <c r="D105" s="12">
        <v>12</v>
      </c>
      <c r="E105" s="2" t="str">
        <f t="shared" si="6"/>
        <v>s3t2p12</v>
      </c>
      <c r="F105" s="12">
        <v>110</v>
      </c>
      <c r="G105" s="3"/>
      <c r="H105" s="3"/>
      <c r="I105" s="13">
        <v>0.61005719999999997</v>
      </c>
      <c r="J105" s="13"/>
      <c r="K105" s="28">
        <v>40793</v>
      </c>
      <c r="L105" s="23">
        <f t="shared" si="7"/>
        <v>100</v>
      </c>
      <c r="M105" s="29">
        <v>0</v>
      </c>
      <c r="N105" s="29">
        <v>5</v>
      </c>
      <c r="O105" s="30">
        <v>25</v>
      </c>
      <c r="P105" s="30"/>
      <c r="Q105" s="30"/>
      <c r="R105" s="30"/>
      <c r="S105" s="30"/>
      <c r="T105" s="30"/>
      <c r="U105" s="30"/>
      <c r="V105" s="30">
        <v>40</v>
      </c>
      <c r="W105" s="30">
        <v>2</v>
      </c>
      <c r="X105" s="30"/>
      <c r="Y105" s="30"/>
      <c r="Z105" s="30">
        <v>4</v>
      </c>
      <c r="AA105" s="30">
        <v>1</v>
      </c>
      <c r="AB105" s="30">
        <v>2</v>
      </c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>
        <v>1</v>
      </c>
      <c r="AT105" s="30">
        <v>2</v>
      </c>
      <c r="AU105" s="30">
        <v>1</v>
      </c>
      <c r="AV105" s="30"/>
      <c r="AW105" s="30"/>
      <c r="AX105" s="30"/>
      <c r="AY105" s="30"/>
      <c r="AZ105" s="30"/>
      <c r="BA105" s="30"/>
      <c r="BB105" s="30">
        <v>5</v>
      </c>
      <c r="BC105" s="30"/>
      <c r="BD105" s="30"/>
      <c r="BE105" s="30">
        <v>2</v>
      </c>
      <c r="BF105" s="30">
        <v>10</v>
      </c>
      <c r="BG105" s="30"/>
      <c r="BH105" s="30"/>
      <c r="BI105" s="29"/>
      <c r="BJ105" s="29"/>
      <c r="BK105" s="29"/>
      <c r="BL105" s="29"/>
      <c r="BM105" s="29">
        <v>8</v>
      </c>
      <c r="BN105" s="29"/>
      <c r="BO105" s="29">
        <v>20</v>
      </c>
      <c r="BP105" s="29"/>
      <c r="BQ105" s="29">
        <v>0</v>
      </c>
      <c r="BR105" s="29"/>
      <c r="BS105" s="29"/>
      <c r="BT105" s="29"/>
      <c r="BU105" s="29"/>
      <c r="BV105" s="29">
        <v>0</v>
      </c>
      <c r="BW105" s="29"/>
      <c r="BX105" s="29">
        <v>6</v>
      </c>
      <c r="BY105" s="29"/>
      <c r="BZ105" s="29"/>
      <c r="CA105" s="29"/>
      <c r="CB105" s="18"/>
    </row>
    <row r="106" spans="1:80" ht="14" x14ac:dyDescent="0.15">
      <c r="A106" s="12" t="s">
        <v>32</v>
      </c>
      <c r="B106" s="12" t="s">
        <v>151</v>
      </c>
      <c r="C106" s="12" t="s">
        <v>146</v>
      </c>
      <c r="D106" s="12">
        <v>1</v>
      </c>
      <c r="E106" s="2" t="str">
        <f t="shared" si="6"/>
        <v>s3t3p1</v>
      </c>
      <c r="F106" s="12">
        <v>0</v>
      </c>
      <c r="G106" s="3"/>
      <c r="H106" s="3"/>
      <c r="I106" s="13">
        <v>0.11993880000000012</v>
      </c>
      <c r="J106" s="13"/>
      <c r="K106" s="28">
        <v>40793</v>
      </c>
      <c r="L106" s="23">
        <f t="shared" si="7"/>
        <v>100</v>
      </c>
      <c r="M106" s="29"/>
      <c r="N106" s="30">
        <v>0.5</v>
      </c>
      <c r="O106" s="30"/>
      <c r="P106" s="30"/>
      <c r="Q106" s="30"/>
      <c r="R106" s="30"/>
      <c r="S106" s="30"/>
      <c r="T106" s="30"/>
      <c r="U106" s="30"/>
      <c r="V106" s="30">
        <v>59.5</v>
      </c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>
        <v>1</v>
      </c>
      <c r="AR106" s="30"/>
      <c r="AS106" s="30"/>
      <c r="AT106" s="30"/>
      <c r="AU106" s="30"/>
      <c r="AV106" s="30"/>
      <c r="AW106" s="30"/>
      <c r="AX106" s="30">
        <v>38</v>
      </c>
      <c r="AY106" s="30"/>
      <c r="AZ106" s="30"/>
      <c r="BA106" s="30">
        <v>1</v>
      </c>
      <c r="BB106" s="30"/>
      <c r="BC106" s="30"/>
      <c r="BD106" s="30"/>
      <c r="BE106" s="30"/>
      <c r="BF106" s="30"/>
      <c r="BG106" s="30"/>
      <c r="BH106" s="30"/>
      <c r="BI106" s="29"/>
      <c r="BJ106" s="29"/>
      <c r="BK106" s="29"/>
      <c r="BL106" s="29"/>
      <c r="BM106" s="29"/>
      <c r="BN106" s="29"/>
      <c r="BO106" s="29"/>
      <c r="BP106" s="29"/>
      <c r="BQ106" s="29">
        <v>46</v>
      </c>
      <c r="BR106" s="29"/>
      <c r="BS106" s="29"/>
      <c r="BT106" s="29"/>
      <c r="BU106" s="29"/>
      <c r="BV106" s="29">
        <v>63</v>
      </c>
      <c r="BW106" s="29"/>
      <c r="BX106" s="29"/>
      <c r="BY106" s="29"/>
      <c r="BZ106" s="29"/>
      <c r="CA106" s="29"/>
      <c r="CB106" s="18"/>
    </row>
    <row r="107" spans="1:80" ht="14" x14ac:dyDescent="0.15">
      <c r="A107" s="12" t="s">
        <v>32</v>
      </c>
      <c r="B107" s="12" t="s">
        <v>151</v>
      </c>
      <c r="C107" s="12" t="s">
        <v>146</v>
      </c>
      <c r="D107" s="12">
        <v>2</v>
      </c>
      <c r="E107" s="2" t="str">
        <f t="shared" si="6"/>
        <v>s3t3p2</v>
      </c>
      <c r="F107" s="12">
        <v>10</v>
      </c>
      <c r="G107" s="3"/>
      <c r="H107" s="3"/>
      <c r="I107" s="13">
        <v>4.1833799999999963E-2</v>
      </c>
      <c r="J107" s="13"/>
      <c r="K107" s="28">
        <v>40793</v>
      </c>
      <c r="L107" s="23">
        <f t="shared" si="7"/>
        <v>100</v>
      </c>
      <c r="M107" s="29">
        <v>59.5</v>
      </c>
      <c r="N107" s="29">
        <v>5</v>
      </c>
      <c r="O107" s="30"/>
      <c r="P107" s="30">
        <v>15</v>
      </c>
      <c r="Q107" s="30"/>
      <c r="R107" s="30"/>
      <c r="S107" s="30"/>
      <c r="T107" s="30"/>
      <c r="U107" s="30"/>
      <c r="V107" s="30">
        <v>15</v>
      </c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>
        <v>0.5</v>
      </c>
      <c r="AR107" s="30"/>
      <c r="AS107" s="30"/>
      <c r="AT107" s="30"/>
      <c r="AU107" s="30"/>
      <c r="AV107" s="30">
        <v>5</v>
      </c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29">
        <v>65</v>
      </c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>
        <v>6</v>
      </c>
      <c r="BV107" s="29"/>
      <c r="BW107" s="29"/>
      <c r="BX107" s="29"/>
      <c r="BY107" s="29"/>
      <c r="BZ107" s="29"/>
      <c r="CA107" s="29">
        <v>20</v>
      </c>
      <c r="CB107" s="18"/>
    </row>
    <row r="108" spans="1:80" ht="14" x14ac:dyDescent="0.15">
      <c r="A108" s="12" t="s">
        <v>32</v>
      </c>
      <c r="B108" s="12" t="s">
        <v>151</v>
      </c>
      <c r="C108" s="12" t="s">
        <v>146</v>
      </c>
      <c r="D108" s="12">
        <v>3</v>
      </c>
      <c r="E108" s="2" t="str">
        <f t="shared" si="6"/>
        <v>s3t3p3</v>
      </c>
      <c r="F108" s="12">
        <v>20</v>
      </c>
      <c r="G108" s="3"/>
      <c r="H108" s="3"/>
      <c r="I108" s="13">
        <v>6.2026800000000007E-2</v>
      </c>
      <c r="J108" s="13"/>
      <c r="K108" s="28">
        <v>40793</v>
      </c>
      <c r="L108" s="23">
        <f t="shared" si="7"/>
        <v>100</v>
      </c>
      <c r="M108" s="29">
        <v>15</v>
      </c>
      <c r="N108" s="29">
        <v>10</v>
      </c>
      <c r="O108" s="30"/>
      <c r="P108" s="30">
        <v>3</v>
      </c>
      <c r="Q108" s="30"/>
      <c r="R108" s="30"/>
      <c r="S108" s="30"/>
      <c r="T108" s="30"/>
      <c r="U108" s="30"/>
      <c r="V108" s="30">
        <v>3</v>
      </c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>
        <v>0.5</v>
      </c>
      <c r="AQ108" s="30"/>
      <c r="AR108" s="30"/>
      <c r="AS108" s="30"/>
      <c r="AT108" s="30"/>
      <c r="AU108" s="30"/>
      <c r="AV108" s="30">
        <v>68.5</v>
      </c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29">
        <v>7</v>
      </c>
      <c r="BJ108" s="29"/>
      <c r="BK108" s="29"/>
      <c r="BL108" s="29"/>
      <c r="BM108" s="29"/>
      <c r="BN108" s="29"/>
      <c r="BO108" s="29"/>
      <c r="BP108" s="29"/>
      <c r="BQ108" s="29">
        <v>2</v>
      </c>
      <c r="BR108" s="29"/>
      <c r="BS108" s="29"/>
      <c r="BT108" s="29"/>
      <c r="BU108" s="29">
        <v>50</v>
      </c>
      <c r="BV108" s="29"/>
      <c r="BW108" s="29"/>
      <c r="BX108" s="29"/>
      <c r="BY108" s="29"/>
      <c r="BZ108" s="29"/>
      <c r="CA108" s="29">
        <v>46</v>
      </c>
      <c r="CB108" s="18"/>
    </row>
    <row r="109" spans="1:80" ht="14" x14ac:dyDescent="0.15">
      <c r="A109" s="12" t="s">
        <v>32</v>
      </c>
      <c r="B109" s="12" t="s">
        <v>151</v>
      </c>
      <c r="C109" s="12" t="s">
        <v>146</v>
      </c>
      <c r="D109" s="12">
        <v>4</v>
      </c>
      <c r="E109" s="2" t="str">
        <f t="shared" si="6"/>
        <v>s3t3p4</v>
      </c>
      <c r="F109" s="12">
        <v>30</v>
      </c>
      <c r="G109" s="3"/>
      <c r="H109" s="3"/>
      <c r="I109" s="14">
        <v>-5.0749200000000029E-2</v>
      </c>
      <c r="J109" s="14"/>
      <c r="K109" s="28">
        <v>40793</v>
      </c>
      <c r="L109" s="23">
        <f t="shared" si="7"/>
        <v>100</v>
      </c>
      <c r="M109" s="29">
        <v>99</v>
      </c>
      <c r="N109" s="29"/>
      <c r="O109" s="30"/>
      <c r="P109" s="30">
        <v>1</v>
      </c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29">
        <v>100</v>
      </c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18"/>
    </row>
    <row r="110" spans="1:80" ht="14" x14ac:dyDescent="0.15">
      <c r="A110" s="12" t="s">
        <v>32</v>
      </c>
      <c r="B110" s="12" t="s">
        <v>151</v>
      </c>
      <c r="C110" s="12" t="s">
        <v>146</v>
      </c>
      <c r="D110" s="12">
        <v>5</v>
      </c>
      <c r="E110" s="2" t="str">
        <f t="shared" si="6"/>
        <v>s3t3p5</v>
      </c>
      <c r="F110" s="12">
        <v>40</v>
      </c>
      <c r="G110" s="3"/>
      <c r="H110" s="3"/>
      <c r="I110" s="14">
        <v>-2.4079199999999922E-2</v>
      </c>
      <c r="J110" s="14"/>
      <c r="K110" s="28">
        <v>40793</v>
      </c>
      <c r="L110" s="23">
        <f t="shared" si="7"/>
        <v>100</v>
      </c>
      <c r="M110" s="29">
        <v>45</v>
      </c>
      <c r="N110" s="29">
        <v>10</v>
      </c>
      <c r="O110" s="30"/>
      <c r="P110" s="30">
        <v>15</v>
      </c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>
        <v>30</v>
      </c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29">
        <v>65</v>
      </c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>
        <v>6</v>
      </c>
      <c r="BV110" s="29"/>
      <c r="BW110" s="29"/>
      <c r="BX110" s="29"/>
      <c r="BY110" s="29"/>
      <c r="BZ110" s="29"/>
      <c r="CA110" s="29">
        <v>31</v>
      </c>
      <c r="CB110" s="18"/>
    </row>
    <row r="111" spans="1:80" ht="14" x14ac:dyDescent="0.15">
      <c r="A111" s="12" t="s">
        <v>32</v>
      </c>
      <c r="B111" s="12" t="s">
        <v>151</v>
      </c>
      <c r="C111" s="12" t="s">
        <v>146</v>
      </c>
      <c r="D111" s="12">
        <v>6</v>
      </c>
      <c r="E111" s="2" t="str">
        <f t="shared" si="6"/>
        <v>s3t3p6</v>
      </c>
      <c r="F111" s="12">
        <v>50</v>
      </c>
      <c r="G111" s="3"/>
      <c r="H111" s="3"/>
      <c r="I111" s="13">
        <v>1.9354800000000102E-2</v>
      </c>
      <c r="J111" s="13"/>
      <c r="K111" s="28">
        <v>40793</v>
      </c>
      <c r="L111" s="23">
        <f t="shared" si="7"/>
        <v>100</v>
      </c>
      <c r="M111" s="29"/>
      <c r="N111" s="29">
        <v>10</v>
      </c>
      <c r="O111" s="30"/>
      <c r="P111" s="30"/>
      <c r="Q111" s="30"/>
      <c r="R111" s="30"/>
      <c r="S111" s="30"/>
      <c r="T111" s="30"/>
      <c r="U111" s="30"/>
      <c r="V111" s="30">
        <v>90</v>
      </c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29"/>
      <c r="BJ111" s="29"/>
      <c r="BK111" s="29"/>
      <c r="BL111" s="29"/>
      <c r="BM111" s="29"/>
      <c r="BN111" s="29"/>
      <c r="BO111" s="29"/>
      <c r="BP111" s="29"/>
      <c r="BQ111" s="29">
        <v>68</v>
      </c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18"/>
    </row>
    <row r="112" spans="1:80" ht="14" x14ac:dyDescent="0.15">
      <c r="A112" s="12" t="s">
        <v>32</v>
      </c>
      <c r="B112" s="12" t="s">
        <v>151</v>
      </c>
      <c r="C112" s="12" t="s">
        <v>146</v>
      </c>
      <c r="D112" s="12">
        <v>7</v>
      </c>
      <c r="E112" s="2" t="str">
        <f t="shared" si="6"/>
        <v>s3t3p7</v>
      </c>
      <c r="F112" s="12">
        <v>60</v>
      </c>
      <c r="G112" s="3"/>
      <c r="H112" s="3"/>
      <c r="I112" s="14">
        <v>-5.0291999999999204E-3</v>
      </c>
      <c r="J112" s="14"/>
      <c r="K112" s="28">
        <v>40793</v>
      </c>
      <c r="L112" s="23">
        <f t="shared" si="7"/>
        <v>100</v>
      </c>
      <c r="M112" s="29">
        <v>20</v>
      </c>
      <c r="N112" s="29">
        <v>20</v>
      </c>
      <c r="O112" s="30"/>
      <c r="P112" s="30"/>
      <c r="Q112" s="30"/>
      <c r="R112" s="30"/>
      <c r="S112" s="30"/>
      <c r="T112" s="30"/>
      <c r="U112" s="30"/>
      <c r="V112" s="30">
        <v>50</v>
      </c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>
        <v>5</v>
      </c>
      <c r="AS112" s="30"/>
      <c r="AT112" s="30"/>
      <c r="AU112" s="30"/>
      <c r="AV112" s="30">
        <v>2</v>
      </c>
      <c r="AW112" s="30"/>
      <c r="AX112" s="30">
        <v>0.5</v>
      </c>
      <c r="AY112" s="30"/>
      <c r="AZ112" s="30"/>
      <c r="BA112" s="30">
        <v>2</v>
      </c>
      <c r="BB112" s="30"/>
      <c r="BC112" s="30">
        <v>0.5</v>
      </c>
      <c r="BD112" s="30"/>
      <c r="BE112" s="30"/>
      <c r="BF112" s="30"/>
      <c r="BG112" s="30"/>
      <c r="BH112" s="30"/>
      <c r="BI112" s="29">
        <v>30</v>
      </c>
      <c r="BJ112" s="29"/>
      <c r="BK112" s="29"/>
      <c r="BL112" s="29"/>
      <c r="BM112" s="29"/>
      <c r="BN112" s="29"/>
      <c r="BO112" s="29"/>
      <c r="BP112" s="29"/>
      <c r="BQ112" s="29">
        <v>33</v>
      </c>
      <c r="BR112" s="29"/>
      <c r="BS112" s="29"/>
      <c r="BT112" s="29">
        <v>7</v>
      </c>
      <c r="BU112" s="29"/>
      <c r="BV112" s="29"/>
      <c r="BW112" s="29"/>
      <c r="BX112" s="29"/>
      <c r="BY112" s="29"/>
      <c r="BZ112" s="29">
        <v>37</v>
      </c>
      <c r="CA112" s="29">
        <v>36</v>
      </c>
      <c r="CB112" s="18"/>
    </row>
    <row r="113" spans="1:80" ht="14" x14ac:dyDescent="0.15">
      <c r="A113" s="12" t="s">
        <v>32</v>
      </c>
      <c r="B113" s="12" t="s">
        <v>151</v>
      </c>
      <c r="C113" s="12" t="s">
        <v>146</v>
      </c>
      <c r="D113" s="12">
        <v>8</v>
      </c>
      <c r="E113" s="2" t="str">
        <f t="shared" si="6"/>
        <v>s3t3p8</v>
      </c>
      <c r="F113" s="12">
        <v>70</v>
      </c>
      <c r="G113" s="3"/>
      <c r="H113" s="3"/>
      <c r="I113" s="13">
        <v>2.3545800000000082E-2</v>
      </c>
      <c r="J113" s="13"/>
      <c r="K113" s="28">
        <v>40793</v>
      </c>
      <c r="L113" s="23">
        <f t="shared" si="7"/>
        <v>100</v>
      </c>
      <c r="M113" s="29">
        <v>2</v>
      </c>
      <c r="N113" s="29">
        <v>50</v>
      </c>
      <c r="O113" s="30"/>
      <c r="P113" s="30"/>
      <c r="Q113" s="30"/>
      <c r="R113" s="30"/>
      <c r="S113" s="30"/>
      <c r="T113" s="30"/>
      <c r="U113" s="30"/>
      <c r="V113" s="30">
        <v>10</v>
      </c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>
        <v>30</v>
      </c>
      <c r="AS113" s="30"/>
      <c r="AT113" s="30"/>
      <c r="AU113" s="30"/>
      <c r="AV113" s="30"/>
      <c r="AW113" s="30"/>
      <c r="AX113" s="30"/>
      <c r="AY113" s="30"/>
      <c r="AZ113" s="30"/>
      <c r="BA113" s="30">
        <v>1</v>
      </c>
      <c r="BB113" s="30"/>
      <c r="BC113" s="30">
        <v>7</v>
      </c>
      <c r="BD113" s="30"/>
      <c r="BE113" s="30"/>
      <c r="BF113" s="30"/>
      <c r="BG113" s="30"/>
      <c r="BH113" s="30"/>
      <c r="BI113" s="29"/>
      <c r="BJ113" s="29"/>
      <c r="BK113" s="29"/>
      <c r="BL113" s="29"/>
      <c r="BM113" s="29"/>
      <c r="BN113" s="29"/>
      <c r="BO113" s="29"/>
      <c r="BP113" s="29"/>
      <c r="BQ113" s="29">
        <v>1</v>
      </c>
      <c r="BR113" s="29"/>
      <c r="BS113" s="29"/>
      <c r="BT113" s="29">
        <v>36</v>
      </c>
      <c r="BU113" s="29"/>
      <c r="BV113" s="29"/>
      <c r="BW113" s="29"/>
      <c r="BX113" s="29"/>
      <c r="BY113" s="29"/>
      <c r="BZ113" s="29">
        <v>90</v>
      </c>
      <c r="CA113" s="29"/>
      <c r="CB113" s="18"/>
    </row>
    <row r="114" spans="1:80" ht="14" x14ac:dyDescent="0.15">
      <c r="A114" s="12" t="s">
        <v>32</v>
      </c>
      <c r="B114" s="12" t="s">
        <v>151</v>
      </c>
      <c r="C114" s="12" t="s">
        <v>146</v>
      </c>
      <c r="D114" s="12">
        <v>9</v>
      </c>
      <c r="E114" s="2" t="str">
        <f t="shared" si="6"/>
        <v>s3t3p9</v>
      </c>
      <c r="F114" s="12">
        <v>80</v>
      </c>
      <c r="G114" s="3"/>
      <c r="H114" s="3"/>
      <c r="I114" s="13" t="s">
        <v>153</v>
      </c>
      <c r="J114" s="13"/>
      <c r="K114" s="28">
        <v>40794</v>
      </c>
      <c r="L114" s="23">
        <f t="shared" si="7"/>
        <v>100</v>
      </c>
      <c r="M114" s="29">
        <v>2</v>
      </c>
      <c r="N114" s="29">
        <v>10</v>
      </c>
      <c r="O114" s="30">
        <v>20</v>
      </c>
      <c r="P114" s="30"/>
      <c r="Q114" s="30"/>
      <c r="R114" s="30"/>
      <c r="S114" s="30"/>
      <c r="T114" s="30">
        <v>24.5</v>
      </c>
      <c r="U114" s="30"/>
      <c r="V114" s="30"/>
      <c r="W114" s="30"/>
      <c r="X114" s="30"/>
      <c r="Y114" s="30"/>
      <c r="Z114" s="30"/>
      <c r="AA114" s="30">
        <v>0.5</v>
      </c>
      <c r="AB114" s="30"/>
      <c r="AC114" s="30">
        <v>3</v>
      </c>
      <c r="AD114" s="30"/>
      <c r="AE114" s="30"/>
      <c r="AF114" s="30">
        <v>9</v>
      </c>
      <c r="AG114" s="30"/>
      <c r="AH114" s="30"/>
      <c r="AI114" s="30"/>
      <c r="AJ114" s="30"/>
      <c r="AK114" s="30"/>
      <c r="AL114" s="30"/>
      <c r="AM114" s="30">
        <v>6</v>
      </c>
      <c r="AN114" s="30"/>
      <c r="AO114" s="30"/>
      <c r="AP114" s="30"/>
      <c r="AQ114" s="30"/>
      <c r="AR114" s="30">
        <v>1</v>
      </c>
      <c r="AS114" s="30"/>
      <c r="AT114" s="30">
        <v>4</v>
      </c>
      <c r="AU114" s="30">
        <v>12</v>
      </c>
      <c r="AV114" s="30"/>
      <c r="AW114" s="30"/>
      <c r="AX114" s="30"/>
      <c r="AY114" s="30"/>
      <c r="AZ114" s="30"/>
      <c r="BA114" s="30"/>
      <c r="BB114" s="30">
        <v>8</v>
      </c>
      <c r="BC114" s="30"/>
      <c r="BD114" s="30"/>
      <c r="BE114" s="30"/>
      <c r="BF114" s="30"/>
      <c r="BG114" s="30"/>
      <c r="BH114" s="30"/>
      <c r="BI114" s="29"/>
      <c r="BJ114" s="29"/>
      <c r="BK114" s="29"/>
      <c r="BL114" s="29">
        <v>6</v>
      </c>
      <c r="BM114" s="29"/>
      <c r="BN114" s="29">
        <v>10</v>
      </c>
      <c r="BO114" s="29"/>
      <c r="BP114" s="29">
        <v>3</v>
      </c>
      <c r="BQ114" s="29"/>
      <c r="BR114" s="29"/>
      <c r="BS114" s="29"/>
      <c r="BT114" s="29"/>
      <c r="BU114" s="29"/>
      <c r="BV114" s="29"/>
      <c r="BW114" s="29"/>
      <c r="BX114" s="29"/>
      <c r="BY114" s="29"/>
      <c r="BZ114" s="29">
        <v>93</v>
      </c>
      <c r="CA114" s="29"/>
      <c r="CB114" s="18"/>
    </row>
    <row r="115" spans="1:80" ht="14" x14ac:dyDescent="0.15">
      <c r="A115" s="12" t="s">
        <v>32</v>
      </c>
      <c r="B115" s="12" t="s">
        <v>151</v>
      </c>
      <c r="C115" s="12" t="s">
        <v>150</v>
      </c>
      <c r="D115" s="12">
        <v>1</v>
      </c>
      <c r="E115" s="2" t="str">
        <f t="shared" si="6"/>
        <v>s3t4p1</v>
      </c>
      <c r="F115" s="12">
        <v>0</v>
      </c>
      <c r="G115" s="3"/>
      <c r="H115" s="3"/>
      <c r="I115" s="13">
        <v>7.4218800000000015E-2</v>
      </c>
      <c r="J115" s="13"/>
      <c r="K115" s="28">
        <v>40793</v>
      </c>
      <c r="L115" s="23">
        <f t="shared" si="7"/>
        <v>100</v>
      </c>
      <c r="M115" s="29"/>
      <c r="N115" s="29">
        <v>3</v>
      </c>
      <c r="O115" s="30"/>
      <c r="P115" s="30"/>
      <c r="Q115" s="30"/>
      <c r="R115" s="30"/>
      <c r="S115" s="30"/>
      <c r="T115" s="30"/>
      <c r="U115" s="30"/>
      <c r="V115" s="30">
        <v>79.5</v>
      </c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>
        <v>2</v>
      </c>
      <c r="AQ115" s="30">
        <v>0.5</v>
      </c>
      <c r="AR115" s="30"/>
      <c r="AS115" s="30"/>
      <c r="AT115" s="30"/>
      <c r="AU115" s="30"/>
      <c r="AV115" s="30"/>
      <c r="AW115" s="30"/>
      <c r="AX115" s="30">
        <v>13</v>
      </c>
      <c r="AY115" s="30"/>
      <c r="AZ115" s="30"/>
      <c r="BA115" s="30">
        <v>2</v>
      </c>
      <c r="BB115" s="30"/>
      <c r="BC115" s="30"/>
      <c r="BD115" s="30"/>
      <c r="BE115" s="30"/>
      <c r="BF115" s="30"/>
      <c r="BG115" s="30"/>
      <c r="BH115" s="30"/>
      <c r="BI115" s="29"/>
      <c r="BJ115" s="29"/>
      <c r="BK115" s="29"/>
      <c r="BL115" s="29"/>
      <c r="BM115" s="29"/>
      <c r="BN115" s="29"/>
      <c r="BO115" s="29"/>
      <c r="BP115" s="29"/>
      <c r="BQ115" s="29">
        <v>41</v>
      </c>
      <c r="BR115" s="29"/>
      <c r="BS115" s="29"/>
      <c r="BT115" s="29"/>
      <c r="BU115" s="29"/>
      <c r="BV115" s="29">
        <v>2</v>
      </c>
      <c r="BW115" s="29"/>
      <c r="BX115" s="29"/>
      <c r="BY115" s="29"/>
      <c r="BZ115" s="29"/>
      <c r="CA115" s="29"/>
      <c r="CB115" s="18"/>
    </row>
    <row r="116" spans="1:80" ht="14" x14ac:dyDescent="0.15">
      <c r="A116" s="12" t="s">
        <v>32</v>
      </c>
      <c r="B116" s="12" t="s">
        <v>151</v>
      </c>
      <c r="C116" s="12" t="s">
        <v>150</v>
      </c>
      <c r="D116" s="12">
        <v>2</v>
      </c>
      <c r="E116" s="2" t="str">
        <f t="shared" si="6"/>
        <v>s3t4p2</v>
      </c>
      <c r="F116" s="12">
        <v>10</v>
      </c>
      <c r="G116" s="3"/>
      <c r="H116" s="3"/>
      <c r="I116" s="13">
        <v>8.6410800000000024E-2</v>
      </c>
      <c r="J116" s="13"/>
      <c r="K116" s="28">
        <v>40793</v>
      </c>
      <c r="L116" s="23">
        <f t="shared" si="7"/>
        <v>99.999999999999986</v>
      </c>
      <c r="M116" s="29">
        <f>2/90*100</f>
        <v>2.2222222222222223</v>
      </c>
      <c r="N116" s="29">
        <f>15/90*100</f>
        <v>16.666666666666664</v>
      </c>
      <c r="O116" s="30"/>
      <c r="P116" s="30"/>
      <c r="Q116" s="30"/>
      <c r="R116" s="30"/>
      <c r="S116" s="30"/>
      <c r="T116" s="30"/>
      <c r="U116" s="30"/>
      <c r="V116" s="30">
        <f>53/90*100</f>
        <v>58.888888888888893</v>
      </c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>
        <f>15/90*100</f>
        <v>16.666666666666664</v>
      </c>
      <c r="AW116" s="30"/>
      <c r="AX116" s="30">
        <f>5/90*100</f>
        <v>5.5555555555555554</v>
      </c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29"/>
      <c r="BJ116" s="29"/>
      <c r="BK116" s="29"/>
      <c r="BL116" s="29"/>
      <c r="BM116" s="29"/>
      <c r="BN116" s="29"/>
      <c r="BO116" s="29"/>
      <c r="BP116" s="29"/>
      <c r="BQ116" s="29">
        <v>32</v>
      </c>
      <c r="BR116" s="29"/>
      <c r="BS116" s="29"/>
      <c r="BT116" s="29"/>
      <c r="BU116" s="29">
        <v>1</v>
      </c>
      <c r="BV116" s="29">
        <v>1</v>
      </c>
      <c r="BW116" s="29"/>
      <c r="BX116" s="29"/>
      <c r="BY116" s="29"/>
      <c r="BZ116" s="29"/>
      <c r="CA116" s="29">
        <v>37</v>
      </c>
      <c r="CB116" s="18"/>
    </row>
    <row r="117" spans="1:80" ht="14" x14ac:dyDescent="0.15">
      <c r="A117" s="12" t="s">
        <v>32</v>
      </c>
      <c r="B117" s="12" t="s">
        <v>151</v>
      </c>
      <c r="C117" s="12" t="s">
        <v>150</v>
      </c>
      <c r="D117" s="12">
        <v>3</v>
      </c>
      <c r="E117" s="2" t="str">
        <f t="shared" si="6"/>
        <v>s3t4p3</v>
      </c>
      <c r="F117" s="12">
        <v>20</v>
      </c>
      <c r="G117" s="3"/>
      <c r="H117" s="3"/>
      <c r="I117" s="13">
        <v>0.10355580000000014</v>
      </c>
      <c r="J117" s="13"/>
      <c r="K117" s="28">
        <v>40793</v>
      </c>
      <c r="L117" s="23">
        <f t="shared" si="7"/>
        <v>100</v>
      </c>
      <c r="M117" s="29"/>
      <c r="N117" s="29">
        <v>10</v>
      </c>
      <c r="O117" s="30"/>
      <c r="P117" s="30"/>
      <c r="Q117" s="30"/>
      <c r="R117" s="30"/>
      <c r="S117" s="30"/>
      <c r="T117" s="30"/>
      <c r="U117" s="30"/>
      <c r="V117" s="30">
        <v>79</v>
      </c>
      <c r="W117" s="30"/>
      <c r="X117" s="30"/>
      <c r="Y117" s="30"/>
      <c r="Z117" s="30"/>
      <c r="AA117" s="30"/>
      <c r="AB117" s="30">
        <v>10</v>
      </c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>
        <v>1</v>
      </c>
      <c r="BB117" s="30"/>
      <c r="BC117" s="30"/>
      <c r="BD117" s="30"/>
      <c r="BE117" s="30"/>
      <c r="BF117" s="30"/>
      <c r="BG117" s="30"/>
      <c r="BH117" s="30"/>
      <c r="BI117" s="29"/>
      <c r="BJ117" s="29"/>
      <c r="BK117" s="29"/>
      <c r="BL117" s="29"/>
      <c r="BM117" s="29"/>
      <c r="BN117" s="29"/>
      <c r="BO117" s="29"/>
      <c r="BP117" s="29"/>
      <c r="BQ117" s="29">
        <v>55</v>
      </c>
      <c r="BR117" s="29">
        <v>5</v>
      </c>
      <c r="BS117" s="29"/>
      <c r="BT117" s="29"/>
      <c r="BU117" s="29"/>
      <c r="BV117" s="29"/>
      <c r="BW117" s="29"/>
      <c r="BX117" s="29"/>
      <c r="BY117" s="29"/>
      <c r="BZ117" s="29"/>
      <c r="CA117" s="29">
        <v>30</v>
      </c>
      <c r="CB117" s="18"/>
    </row>
    <row r="118" spans="1:80" ht="14" x14ac:dyDescent="0.15">
      <c r="A118" s="12" t="s">
        <v>32</v>
      </c>
      <c r="B118" s="12" t="s">
        <v>151</v>
      </c>
      <c r="C118" s="12" t="s">
        <v>150</v>
      </c>
      <c r="D118" s="12">
        <v>4</v>
      </c>
      <c r="E118" s="2" t="str">
        <f t="shared" si="6"/>
        <v>s3t4p4</v>
      </c>
      <c r="F118" s="12">
        <v>30</v>
      </c>
      <c r="G118" s="3"/>
      <c r="H118" s="3"/>
      <c r="I118" s="13">
        <v>2.9260800000000028E-2</v>
      </c>
      <c r="J118" s="13"/>
      <c r="K118" s="28">
        <v>40793</v>
      </c>
      <c r="L118" s="23">
        <f t="shared" si="7"/>
        <v>100</v>
      </c>
      <c r="M118" s="29">
        <f>61/90*100</f>
        <v>67.777777777777786</v>
      </c>
      <c r="N118" s="29">
        <f>3/90*100</f>
        <v>3.3333333333333335</v>
      </c>
      <c r="O118" s="30"/>
      <c r="P118" s="30">
        <f>5/90*100</f>
        <v>5.5555555555555554</v>
      </c>
      <c r="Q118" s="30"/>
      <c r="R118" s="30"/>
      <c r="S118" s="30"/>
      <c r="T118" s="30"/>
      <c r="U118" s="30"/>
      <c r="V118" s="30">
        <f>1/90*100</f>
        <v>1.1111111111111112</v>
      </c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>
        <f>20/90*100</f>
        <v>22.222222222222221</v>
      </c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29">
        <v>80</v>
      </c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>
        <v>3</v>
      </c>
      <c r="BV118" s="29"/>
      <c r="BW118" s="29"/>
      <c r="BX118" s="29"/>
      <c r="BY118" s="29"/>
      <c r="BZ118" s="29"/>
      <c r="CA118" s="29"/>
      <c r="CB118" s="18"/>
    </row>
    <row r="119" spans="1:80" ht="14" x14ac:dyDescent="0.15">
      <c r="A119" s="12" t="s">
        <v>32</v>
      </c>
      <c r="B119" s="12" t="s">
        <v>151</v>
      </c>
      <c r="C119" s="12" t="s">
        <v>150</v>
      </c>
      <c r="D119" s="12">
        <v>5</v>
      </c>
      <c r="E119" s="2" t="str">
        <f t="shared" si="6"/>
        <v>s3t4p5</v>
      </c>
      <c r="F119" s="12">
        <v>40</v>
      </c>
      <c r="G119" s="3"/>
      <c r="H119" s="3"/>
      <c r="I119" s="13">
        <v>7.0027799999999765E-2</v>
      </c>
      <c r="J119" s="13"/>
      <c r="K119" s="28">
        <v>40793</v>
      </c>
      <c r="L119" s="23">
        <f t="shared" si="7"/>
        <v>100</v>
      </c>
      <c r="M119" s="29">
        <v>54.5</v>
      </c>
      <c r="N119" s="29">
        <v>10</v>
      </c>
      <c r="O119" s="30"/>
      <c r="P119" s="30">
        <v>5</v>
      </c>
      <c r="Q119" s="30"/>
      <c r="R119" s="30"/>
      <c r="S119" s="30"/>
      <c r="T119" s="30"/>
      <c r="U119" s="30"/>
      <c r="V119" s="30">
        <v>30</v>
      </c>
      <c r="W119" s="30"/>
      <c r="X119" s="30"/>
      <c r="Y119" s="30"/>
      <c r="Z119" s="30"/>
      <c r="AA119" s="30"/>
      <c r="AB119" s="30">
        <v>0.5</v>
      </c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29">
        <v>60</v>
      </c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18"/>
    </row>
    <row r="120" spans="1:80" ht="14" x14ac:dyDescent="0.15">
      <c r="A120" s="12" t="s">
        <v>32</v>
      </c>
      <c r="B120" s="12" t="s">
        <v>151</v>
      </c>
      <c r="C120" s="12" t="s">
        <v>150</v>
      </c>
      <c r="D120" s="12">
        <v>6</v>
      </c>
      <c r="E120" s="2" t="str">
        <f t="shared" si="6"/>
        <v>s3t4p6</v>
      </c>
      <c r="F120" s="12">
        <v>50</v>
      </c>
      <c r="G120" s="3"/>
      <c r="H120" s="3"/>
      <c r="I120" s="13">
        <v>6.2788799999999853E-2</v>
      </c>
      <c r="J120" s="13"/>
      <c r="K120" s="28">
        <v>40793</v>
      </c>
      <c r="L120" s="23">
        <f t="shared" si="7"/>
        <v>100</v>
      </c>
      <c r="M120" s="29">
        <v>1</v>
      </c>
      <c r="N120" s="29">
        <v>70</v>
      </c>
      <c r="O120" s="30">
        <v>1</v>
      </c>
      <c r="P120" s="30"/>
      <c r="Q120" s="30"/>
      <c r="R120" s="30"/>
      <c r="S120" s="30"/>
      <c r="T120" s="30"/>
      <c r="U120" s="30"/>
      <c r="V120" s="30">
        <v>2</v>
      </c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>
        <v>25</v>
      </c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>
        <v>1</v>
      </c>
      <c r="BD120" s="30"/>
      <c r="BE120" s="30"/>
      <c r="BF120" s="30"/>
      <c r="BG120" s="30"/>
      <c r="BH120" s="30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>
        <v>45</v>
      </c>
      <c r="BU120" s="29"/>
      <c r="BV120" s="29"/>
      <c r="BW120" s="29"/>
      <c r="BX120" s="29"/>
      <c r="BY120" s="29"/>
      <c r="BZ120" s="29">
        <v>89</v>
      </c>
      <c r="CA120" s="29"/>
      <c r="CB120" s="18"/>
    </row>
    <row r="121" spans="1:80" ht="14" x14ac:dyDescent="0.15">
      <c r="A121" s="12" t="s">
        <v>32</v>
      </c>
      <c r="B121" s="12" t="s">
        <v>151</v>
      </c>
      <c r="C121" s="12" t="s">
        <v>150</v>
      </c>
      <c r="D121" s="12">
        <v>7</v>
      </c>
      <c r="E121" s="2" t="str">
        <f t="shared" si="6"/>
        <v>s3t4p7</v>
      </c>
      <c r="F121" s="12">
        <v>60</v>
      </c>
      <c r="G121" s="3"/>
      <c r="H121" s="3"/>
      <c r="I121" s="13">
        <v>0.3717798000000001</v>
      </c>
      <c r="J121" s="13"/>
      <c r="K121" s="28">
        <v>40794</v>
      </c>
      <c r="L121" s="23">
        <f t="shared" si="7"/>
        <v>100</v>
      </c>
      <c r="M121" s="29">
        <v>4</v>
      </c>
      <c r="N121" s="29">
        <v>34</v>
      </c>
      <c r="O121" s="30">
        <v>19</v>
      </c>
      <c r="P121" s="30"/>
      <c r="Q121" s="30"/>
      <c r="R121" s="30"/>
      <c r="S121" s="30"/>
      <c r="T121" s="30"/>
      <c r="U121" s="30"/>
      <c r="V121" s="30">
        <v>3</v>
      </c>
      <c r="W121" s="30"/>
      <c r="X121" s="30"/>
      <c r="Y121" s="30"/>
      <c r="Z121" s="30">
        <v>10</v>
      </c>
      <c r="AA121" s="30">
        <v>0.5</v>
      </c>
      <c r="AB121" s="30">
        <v>1</v>
      </c>
      <c r="AC121" s="30"/>
      <c r="AD121" s="30"/>
      <c r="AE121" s="30"/>
      <c r="AF121" s="30">
        <v>2</v>
      </c>
      <c r="AG121" s="30"/>
      <c r="AH121" s="30">
        <v>1</v>
      </c>
      <c r="AI121" s="30"/>
      <c r="AJ121" s="30">
        <v>0.5</v>
      </c>
      <c r="AK121" s="30"/>
      <c r="AL121" s="30"/>
      <c r="AM121" s="30"/>
      <c r="AN121" s="30"/>
      <c r="AO121" s="30"/>
      <c r="AP121" s="30"/>
      <c r="AQ121" s="30"/>
      <c r="AR121" s="30">
        <v>8</v>
      </c>
      <c r="AS121" s="30"/>
      <c r="AT121" s="30">
        <v>2</v>
      </c>
      <c r="AU121" s="30"/>
      <c r="AV121" s="30"/>
      <c r="AW121" s="30"/>
      <c r="AX121" s="30">
        <v>15</v>
      </c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29"/>
      <c r="BJ121" s="29"/>
      <c r="BK121" s="29"/>
      <c r="BL121" s="29"/>
      <c r="BM121" s="29"/>
      <c r="BN121" s="29"/>
      <c r="BO121" s="29">
        <v>45</v>
      </c>
      <c r="BP121" s="29">
        <v>2</v>
      </c>
      <c r="BQ121" s="29"/>
      <c r="BR121" s="29">
        <v>2</v>
      </c>
      <c r="BS121" s="29"/>
      <c r="BT121" s="29">
        <v>5</v>
      </c>
      <c r="BU121" s="29"/>
      <c r="BV121" s="29">
        <v>4</v>
      </c>
      <c r="BW121" s="29"/>
      <c r="BX121" s="29">
        <v>2</v>
      </c>
      <c r="BY121" s="29"/>
      <c r="BZ121" s="29">
        <v>63</v>
      </c>
      <c r="CA121" s="29"/>
      <c r="CB121" s="18"/>
    </row>
  </sheetData>
  <sortState xmlns:xlrd2="http://schemas.microsoft.com/office/spreadsheetml/2017/richdata2" ref="A2:CB121">
    <sortCondition ref="B2:B121"/>
    <sortCondition ref="C2:C121"/>
    <sortCondition ref="D2:D121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G12"/>
  <sheetViews>
    <sheetView workbookViewId="0">
      <selection activeCell="D4" sqref="D4"/>
    </sheetView>
  </sheetViews>
  <sheetFormatPr baseColWidth="10" defaultColWidth="8.83203125" defaultRowHeight="15" x14ac:dyDescent="0.2"/>
  <sheetData>
    <row r="3" spans="4:7" x14ac:dyDescent="0.2">
      <c r="D3" t="s">
        <v>31</v>
      </c>
    </row>
    <row r="4" spans="4:7" x14ac:dyDescent="0.2">
      <c r="E4" t="s">
        <v>28</v>
      </c>
      <c r="F4" t="s">
        <v>26</v>
      </c>
      <c r="G4" t="s">
        <v>27</v>
      </c>
    </row>
    <row r="5" spans="4:7" x14ac:dyDescent="0.2">
      <c r="E5" t="s">
        <v>23</v>
      </c>
      <c r="F5" s="1" t="e">
        <f>MIN(Sheet1!#REF!)</f>
        <v>#REF!</v>
      </c>
      <c r="G5" t="e">
        <f>F5*3.2808399</f>
        <v>#REF!</v>
      </c>
    </row>
    <row r="6" spans="4:7" x14ac:dyDescent="0.2">
      <c r="E6" t="s">
        <v>24</v>
      </c>
      <c r="F6" s="1" t="e">
        <f>MAX(Sheet1!#REF!)</f>
        <v>#REF!</v>
      </c>
      <c r="G6" t="e">
        <f>F6*3.2808399</f>
        <v>#REF!</v>
      </c>
    </row>
    <row r="7" spans="4:7" x14ac:dyDescent="0.2">
      <c r="E7" t="s">
        <v>25</v>
      </c>
      <c r="F7" s="1" t="e">
        <f>F6-F5</f>
        <v>#REF!</v>
      </c>
      <c r="G7" t="e">
        <f>G6-G5</f>
        <v>#REF!</v>
      </c>
    </row>
    <row r="9" spans="4:7" x14ac:dyDescent="0.2">
      <c r="E9" t="s">
        <v>29</v>
      </c>
      <c r="F9" t="s">
        <v>26</v>
      </c>
      <c r="G9" t="s">
        <v>27</v>
      </c>
    </row>
    <row r="10" spans="4:7" x14ac:dyDescent="0.2">
      <c r="E10" t="s">
        <v>23</v>
      </c>
      <c r="F10" s="1" t="e">
        <f>MIN(Sheet1!#REF!,Sheet1!#REF!,Sheet1!#REF!,Sheet1!#REF!,Sheet1!#REF!)</f>
        <v>#REF!</v>
      </c>
      <c r="G10" t="e">
        <f>F10*3.2808399</f>
        <v>#REF!</v>
      </c>
    </row>
    <row r="11" spans="4:7" x14ac:dyDescent="0.2">
      <c r="E11" t="s">
        <v>24</v>
      </c>
      <c r="F11" s="1" t="e">
        <f>F6</f>
        <v>#REF!</v>
      </c>
      <c r="G11" t="e">
        <f>F11*3.2808399</f>
        <v>#REF!</v>
      </c>
    </row>
    <row r="12" spans="4:7" x14ac:dyDescent="0.2">
      <c r="E12" t="s">
        <v>25</v>
      </c>
      <c r="F12" s="1" t="e">
        <f>F11-F10</f>
        <v>#REF!</v>
      </c>
      <c r="G12" s="1" t="e">
        <f>G11-G10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DCR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volunteer</dc:creator>
  <cp:lastModifiedBy>Holmquist, James</cp:lastModifiedBy>
  <dcterms:created xsi:type="dcterms:W3CDTF">2011-07-27T21:01:10Z</dcterms:created>
  <dcterms:modified xsi:type="dcterms:W3CDTF">2026-06-28T16:45:43Z</dcterms:modified>
</cp:coreProperties>
</file>