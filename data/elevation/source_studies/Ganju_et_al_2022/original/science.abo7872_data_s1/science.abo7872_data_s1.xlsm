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q98002468/Library/Mobile Documents/com~apple~CloudDocs/Documents/NEW MY DOCUMENTS/My Documents Macquarie/Papers 2022/Global Saltmarsh SET/Science version/Revised version/Resubmission Version/"/>
    </mc:Choice>
  </mc:AlternateContent>
  <xr:revisionPtr revIDLastSave="0" documentId="8_{28BCD810-F25D-564B-A4B8-A44497873FFC}" xr6:coauthVersionLast="47" xr6:coauthVersionMax="47" xr10:uidLastSave="{00000000-0000-0000-0000-000000000000}"/>
  <bookViews>
    <workbookView xWindow="38980" yWindow="840" windowWidth="38400" windowHeight="21140" xr2:uid="{00000000-000D-0000-FFFF-FFFF00000000}"/>
  </bookViews>
  <sheets>
    <sheet name="masterFinalJan202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10" i="1"/>
  <c r="M11" i="1"/>
  <c r="M12" i="1"/>
  <c r="M13" i="1"/>
  <c r="M14" i="1"/>
  <c r="M15" i="1"/>
  <c r="M16" i="1"/>
  <c r="M17" i="1"/>
  <c r="M18" i="1"/>
  <c r="M19" i="1"/>
  <c r="M22" i="1"/>
  <c r="M23" i="1"/>
  <c r="M24" i="1"/>
  <c r="M25" i="1"/>
  <c r="M27" i="1"/>
  <c r="M28" i="1"/>
  <c r="M29" i="1"/>
  <c r="M31" i="1"/>
  <c r="M32" i="1"/>
  <c r="M33" i="1"/>
  <c r="M34" i="1"/>
  <c r="M35" i="1"/>
  <c r="M36" i="1"/>
  <c r="M37" i="1"/>
  <c r="M48" i="1"/>
  <c r="M49" i="1"/>
  <c r="M50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65" i="1"/>
  <c r="M366" i="1"/>
  <c r="M367" i="1"/>
  <c r="M368" i="1"/>
  <c r="M376" i="1"/>
  <c r="M377" i="1"/>
  <c r="M37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50" i="1"/>
  <c r="M451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2" i="1"/>
</calcChain>
</file>

<file path=xl/sharedStrings.xml><?xml version="1.0" encoding="utf-8"?>
<sst xmlns="http://schemas.openxmlformats.org/spreadsheetml/2006/main" count="4900" uniqueCount="928">
  <si>
    <t>site.SET.identifier</t>
  </si>
  <si>
    <t>network</t>
  </si>
  <si>
    <t>country</t>
  </si>
  <si>
    <t>site.label</t>
  </si>
  <si>
    <t>latitude</t>
  </si>
  <si>
    <t>longitude</t>
  </si>
  <si>
    <t>TSM.2011.AVG</t>
  </si>
  <si>
    <t>TSM.2011.STDEV</t>
  </si>
  <si>
    <t>SLR50</t>
  </si>
  <si>
    <t>MHW</t>
  </si>
  <si>
    <t>MLW</t>
  </si>
  <si>
    <t>MSL</t>
  </si>
  <si>
    <t>marshElevation</t>
  </si>
  <si>
    <t>D</t>
  </si>
  <si>
    <t>maxTemp</t>
  </si>
  <si>
    <t>rainfall</t>
  </si>
  <si>
    <t>Dominant.vegetation</t>
  </si>
  <si>
    <t>accretion</t>
  </si>
  <si>
    <t>elevCapital</t>
  </si>
  <si>
    <t>elevation.rate</t>
  </si>
  <si>
    <t>R2.SET</t>
  </si>
  <si>
    <t>tidal.range</t>
  </si>
  <si>
    <t>Spartina</t>
  </si>
  <si>
    <t>shortGrassesHerbs</t>
  </si>
  <si>
    <t>brackishRushes</t>
  </si>
  <si>
    <t>saltbushes</t>
  </si>
  <si>
    <t>category</t>
  </si>
  <si>
    <t>SLR3000</t>
  </si>
  <si>
    <t>Geomorphic.setting</t>
  </si>
  <si>
    <t>Shore.R2</t>
  </si>
  <si>
    <t>Shore.rate</t>
  </si>
  <si>
    <t>Shore.Dist</t>
  </si>
  <si>
    <t>UVVR</t>
  </si>
  <si>
    <t>elevDeficit</t>
  </si>
  <si>
    <t>yearsNew</t>
  </si>
  <si>
    <t>startNew</t>
  </si>
  <si>
    <t>endNew</t>
  </si>
  <si>
    <t>lowMarshLimBelMHW</t>
  </si>
  <si>
    <t>lowMarshLimHeightDatum</t>
  </si>
  <si>
    <t>orgMat</t>
  </si>
  <si>
    <t>bulkDensity</t>
  </si>
  <si>
    <t>Time.to.Failure.50</t>
  </si>
  <si>
    <t>Retreat.Failure</t>
  </si>
  <si>
    <t>Alfacada.B5A</t>
  </si>
  <si>
    <t>EUROPE</t>
  </si>
  <si>
    <t>Spain</t>
  </si>
  <si>
    <t>Alfacada</t>
  </si>
  <si>
    <t>Juncus</t>
  </si>
  <si>
    <t>brackishRush</t>
  </si>
  <si>
    <t>River deltaic</t>
  </si>
  <si>
    <t>Alfacada.B6A</t>
  </si>
  <si>
    <t>Alfacs.M3A</t>
  </si>
  <si>
    <t>Alfacs</t>
  </si>
  <si>
    <t>Salicornia</t>
  </si>
  <si>
    <t>shortGrass</t>
  </si>
  <si>
    <t>8/25/2009</t>
  </si>
  <si>
    <t>3/19/2018</t>
  </si>
  <si>
    <t>Alfacs.M4A</t>
  </si>
  <si>
    <t>Buda.M11BB</t>
  </si>
  <si>
    <t>Buda</t>
  </si>
  <si>
    <t>3/15/2018</t>
  </si>
  <si>
    <t>Buda.M12BB</t>
  </si>
  <si>
    <t>Clot.B3C</t>
  </si>
  <si>
    <t>Clot</t>
  </si>
  <si>
    <t>Phragmites</t>
  </si>
  <si>
    <t>8/26/2009</t>
  </si>
  <si>
    <t>3/28/2018</t>
  </si>
  <si>
    <t>Clot.B4C</t>
  </si>
  <si>
    <t>NA</t>
  </si>
  <si>
    <t>Encanyissada.E.F3EE</t>
  </si>
  <si>
    <t>Encanyissada.E</t>
  </si>
  <si>
    <t>8/27/2009</t>
  </si>
  <si>
    <t>Encanyissada.E.F4EE</t>
  </si>
  <si>
    <t>Encanyissada.W.F1EW</t>
  </si>
  <si>
    <t>Encanyissada.W</t>
  </si>
  <si>
    <t>Encanyissada.W.F2EW</t>
  </si>
  <si>
    <t>Fangar.M5F</t>
  </si>
  <si>
    <t>Fangar</t>
  </si>
  <si>
    <t>3/27/2018</t>
  </si>
  <si>
    <t>Fangar.M6F</t>
  </si>
  <si>
    <t>Garxal.E.B1G</t>
  </si>
  <si>
    <t>Garxal.E</t>
  </si>
  <si>
    <t>Paspalam</t>
  </si>
  <si>
    <t>Garxal.E.B7G</t>
  </si>
  <si>
    <t>Paspalam, Phragmites</t>
  </si>
  <si>
    <t>Garxal.W.B2G</t>
  </si>
  <si>
    <t>Garxal.W</t>
  </si>
  <si>
    <t>Garxal.W.B8G</t>
  </si>
  <si>
    <t>Olles.E.M7O.1</t>
  </si>
  <si>
    <t>Olles.E</t>
  </si>
  <si>
    <t>Olles.W.M8O.1</t>
  </si>
  <si>
    <t>Olles.W</t>
  </si>
  <si>
    <t>Juncus, Salicornia</t>
  </si>
  <si>
    <t>Punta.Banya.M10AB</t>
  </si>
  <si>
    <t>Punta.Banya</t>
  </si>
  <si>
    <t>Punta.Banya.M9AB</t>
  </si>
  <si>
    <t>Riet.Vell.B10RV</t>
  </si>
  <si>
    <t>Riet.Vell</t>
  </si>
  <si>
    <t>3/30/2010</t>
  </si>
  <si>
    <t>Riet.Vell.B9RV</t>
  </si>
  <si>
    <t>Tancada.M1T</t>
  </si>
  <si>
    <t>Tancada</t>
  </si>
  <si>
    <t>Tancada.M2T</t>
  </si>
  <si>
    <t>Ullals.F5U</t>
  </si>
  <si>
    <t>Ullals</t>
  </si>
  <si>
    <t>Ullals.F6U</t>
  </si>
  <si>
    <t>Vilacoto.F7V</t>
  </si>
  <si>
    <t>Vilacoto</t>
  </si>
  <si>
    <t>Cladium</t>
  </si>
  <si>
    <t>Vilacoto.F8V</t>
  </si>
  <si>
    <t>Essex.FW.1</t>
  </si>
  <si>
    <t>UK</t>
  </si>
  <si>
    <t>Essex</t>
  </si>
  <si>
    <t>Tide Dominant</t>
  </si>
  <si>
    <t>12/21/2016</t>
  </si>
  <si>
    <t>Essex.FW.2</t>
  </si>
  <si>
    <t>Essex.FW.3</t>
  </si>
  <si>
    <t>Essex.TM.1</t>
  </si>
  <si>
    <t>2/17/2017</t>
  </si>
  <si>
    <t>Essex.TM.2</t>
  </si>
  <si>
    <t>Essex.TM.3</t>
  </si>
  <si>
    <t>Norfolk.SKA.1</t>
  </si>
  <si>
    <t>Norfolk</t>
  </si>
  <si>
    <t>9/28/1995</t>
  </si>
  <si>
    <t>Norfolk.SKA.2</t>
  </si>
  <si>
    <t>Norfolk.SKA.3</t>
  </si>
  <si>
    <t>Norfolk.SKA.4</t>
  </si>
  <si>
    <t>Norfolk.SKA.5</t>
  </si>
  <si>
    <t>Norfolk.SKB.1</t>
  </si>
  <si>
    <t>5/27/2016</t>
  </si>
  <si>
    <t>Norfolk.SKB.2</t>
  </si>
  <si>
    <t>Norfolk.SKB.3</t>
  </si>
  <si>
    <t>Norfolk.SKB.4</t>
  </si>
  <si>
    <t>Norfolk.SKB.5</t>
  </si>
  <si>
    <t>Wash.WB.1</t>
  </si>
  <si>
    <t>Wash</t>
  </si>
  <si>
    <t>Salicornia, suaeda</t>
  </si>
  <si>
    <t>Wash.WB.2</t>
  </si>
  <si>
    <t>Wash.WB.3</t>
  </si>
  <si>
    <t>Wash.WB.4</t>
  </si>
  <si>
    <t>Wash.WB.5</t>
  </si>
  <si>
    <t>Wash.WB.6</t>
  </si>
  <si>
    <t>Venice.1</t>
  </si>
  <si>
    <t>Italy</t>
  </si>
  <si>
    <t>Lagoon.of.Venice</t>
  </si>
  <si>
    <t>Juncus maritimus, Limonium serotinum</t>
  </si>
  <si>
    <t>barrierLagoon</t>
  </si>
  <si>
    <t>Venice.2chiogia</t>
  </si>
  <si>
    <t>Sarcocornia fruticosa, Puccinellia palustris</t>
  </si>
  <si>
    <t>11/15/2011</t>
  </si>
  <si>
    <t>Venice.3dese</t>
  </si>
  <si>
    <t>Phragmites australis</t>
  </si>
  <si>
    <t>10/15/2011</t>
  </si>
  <si>
    <t>Venice.4</t>
  </si>
  <si>
    <t>Spartina maritima, Salicornia veneta</t>
  </si>
  <si>
    <t>spartina</t>
  </si>
  <si>
    <t>4/15/1996</t>
  </si>
  <si>
    <t>Venice.5</t>
  </si>
  <si>
    <t>Limonium narbonense, Puccinellia palustris</t>
  </si>
  <si>
    <t>Venice.6laghi</t>
  </si>
  <si>
    <t>Juncus maritimus, Limonium narbonense</t>
  </si>
  <si>
    <t>Venice.7san.gelice.gaggian.1</t>
  </si>
  <si>
    <t>Sarcocornia fruticosa</t>
  </si>
  <si>
    <t>Venice.8san.gelice.gaggian.2</t>
  </si>
  <si>
    <t>Spartina maritima, Salciornia veneta</t>
  </si>
  <si>
    <t>Venice.9torson.1</t>
  </si>
  <si>
    <t>Puccinellia palustris, Sarcocornia fruticosa</t>
  </si>
  <si>
    <t>CRMS0002.E01</t>
  </si>
  <si>
    <t>GULF COAST USA</t>
  </si>
  <si>
    <t>USA</t>
  </si>
  <si>
    <t>CRMS.east</t>
  </si>
  <si>
    <t>Spartina.patens.(Aiton).Muhl.</t>
  </si>
  <si>
    <t>11/18/2008</t>
  </si>
  <si>
    <t>CRMS0003.E01</t>
  </si>
  <si>
    <t>Spartina.alterniflora.Loisel.</t>
  </si>
  <si>
    <t>11/20/2008</t>
  </si>
  <si>
    <t>4/21/2020</t>
  </si>
  <si>
    <t>CRMS0108.E01</t>
  </si>
  <si>
    <t>10/14/2009</t>
  </si>
  <si>
    <t>4/14/2020</t>
  </si>
  <si>
    <t>CRMS0119.E01</t>
  </si>
  <si>
    <t>4/14/2008</t>
  </si>
  <si>
    <t>4/20/2020</t>
  </si>
  <si>
    <t>CRMS0131.E01</t>
  </si>
  <si>
    <t>3/24/2009</t>
  </si>
  <si>
    <t>3/26/2020</t>
  </si>
  <si>
    <t>CRMS0132.E01</t>
  </si>
  <si>
    <t>CRMS0135.E01</t>
  </si>
  <si>
    <t>4/26/2007</t>
  </si>
  <si>
    <t>CRMS0136.E01</t>
  </si>
  <si>
    <t>CRMS0147.E01</t>
  </si>
  <si>
    <t>CRMS0148.E01</t>
  </si>
  <si>
    <t>3/16/2020</t>
  </si>
  <si>
    <t>CRMS0164.E01</t>
  </si>
  <si>
    <t>4/16/2007</t>
  </si>
  <si>
    <t>CRMS0171.E01</t>
  </si>
  <si>
    <t>10/26/2007</t>
  </si>
  <si>
    <t>CRMS0172.E01</t>
  </si>
  <si>
    <t>CRMS0173.E01</t>
  </si>
  <si>
    <t>4/17/2007</t>
  </si>
  <si>
    <t>4/17/2020</t>
  </si>
  <si>
    <t>CRMS0175.E01</t>
  </si>
  <si>
    <t>CRMS0178.E01</t>
  </si>
  <si>
    <t>CRMS0179.E01</t>
  </si>
  <si>
    <t>CRMS0181.E01</t>
  </si>
  <si>
    <t>CRMS0209.E01</t>
  </si>
  <si>
    <t>4/18/2007</t>
  </si>
  <si>
    <t>CRMS0220.E01</t>
  </si>
  <si>
    <t>CRMS0232.E01</t>
  </si>
  <si>
    <t>4/15/2020</t>
  </si>
  <si>
    <t>CRMS0237.E01</t>
  </si>
  <si>
    <t>3/15/2015</t>
  </si>
  <si>
    <t>CRMS0251.E01</t>
  </si>
  <si>
    <t>4/13/2007</t>
  </si>
  <si>
    <t>4/27/2020</t>
  </si>
  <si>
    <t>CRMS0253.E01</t>
  </si>
  <si>
    <t>3/19/2020</t>
  </si>
  <si>
    <t>CRMS0272.E01</t>
  </si>
  <si>
    <t>CRMS0276.E01</t>
  </si>
  <si>
    <t>2/13/2009</t>
  </si>
  <si>
    <t>CRMS0302.E01</t>
  </si>
  <si>
    <t>CRMS0303.E01</t>
  </si>
  <si>
    <t>CRMS0307.E01</t>
  </si>
  <si>
    <t>CRMS0310.E01</t>
  </si>
  <si>
    <t>4/23/2007</t>
  </si>
  <si>
    <t>CRMS0311.E01</t>
  </si>
  <si>
    <t>CRMS0318.E01</t>
  </si>
  <si>
    <t>CRMS0319.E01</t>
  </si>
  <si>
    <t>CRMS0322.E01</t>
  </si>
  <si>
    <t>5/21/2020</t>
  </si>
  <si>
    <t>CRMS0326.E01</t>
  </si>
  <si>
    <t>CRMS0335.E01</t>
  </si>
  <si>
    <t>CRMS0336.E01</t>
  </si>
  <si>
    <t>CRMS0337.E01</t>
  </si>
  <si>
    <t>CRMS0338.E01</t>
  </si>
  <si>
    <t>CRMS0341.E01</t>
  </si>
  <si>
    <t>CRMS0345.E01</t>
  </si>
  <si>
    <t>11/14/2007</t>
  </si>
  <si>
    <t>3/20/2020</t>
  </si>
  <si>
    <t>CRMS0347.E01</t>
  </si>
  <si>
    <t>3/17/2020</t>
  </si>
  <si>
    <t>CRMS0369.E01</t>
  </si>
  <si>
    <t>11/28/2007</t>
  </si>
  <si>
    <t>4/24/2020</t>
  </si>
  <si>
    <t>CRMS0374.E01</t>
  </si>
  <si>
    <t>CRMS0376.E01</t>
  </si>
  <si>
    <t>3/25/2020</t>
  </si>
  <si>
    <t>CRMS0377.E01</t>
  </si>
  <si>
    <t>CRMS0397.E01</t>
  </si>
  <si>
    <t>CRMS0399.E01</t>
  </si>
  <si>
    <t>4/13/2020</t>
  </si>
  <si>
    <t>CRMS0416.E01</t>
  </si>
  <si>
    <t>CRMS0421.E01</t>
  </si>
  <si>
    <t>CRMS0978.E01</t>
  </si>
  <si>
    <t>CRMS1024.E01</t>
  </si>
  <si>
    <t>10/28/2009</t>
  </si>
  <si>
    <t>CRMS2825.E01</t>
  </si>
  <si>
    <t>10/26/2009</t>
  </si>
  <si>
    <t>CRMS3296.E02</t>
  </si>
  <si>
    <t>3/22/2010</t>
  </si>
  <si>
    <t>CRMS3565.E01</t>
  </si>
  <si>
    <t>CRMS3617.E01</t>
  </si>
  <si>
    <t>CRMS3650.E01</t>
  </si>
  <si>
    <t>CRMS3784.E01</t>
  </si>
  <si>
    <t>10/27/2009</t>
  </si>
  <si>
    <t>CRMS4529.E01</t>
  </si>
  <si>
    <t>4/15/2008</t>
  </si>
  <si>
    <t>CRMS4551.E01</t>
  </si>
  <si>
    <t>CRMS4557.E01</t>
  </si>
  <si>
    <t>CRMS4572.E01</t>
  </si>
  <si>
    <t>2/17/2009</t>
  </si>
  <si>
    <t>CRMS4596.E01</t>
  </si>
  <si>
    <t>CRMS4690.E01</t>
  </si>
  <si>
    <t>CRMS0498.E01</t>
  </si>
  <si>
    <t>CRMS.west</t>
  </si>
  <si>
    <t>Barrier estuary</t>
  </si>
  <si>
    <t>12/13/2007</t>
  </si>
  <si>
    <t>5/27/2020</t>
  </si>
  <si>
    <t>CRMS0499.E01</t>
  </si>
  <si>
    <t>12/14/2007</t>
  </si>
  <si>
    <t>5/20/2020</t>
  </si>
  <si>
    <t>CRMS0501.E01</t>
  </si>
  <si>
    <t>CRMS0504.E01</t>
  </si>
  <si>
    <t>CRMS0508.E01</t>
  </si>
  <si>
    <t>8/21/2020</t>
  </si>
  <si>
    <t>CRMS0520.E01</t>
  </si>
  <si>
    <t>5/28/2020</t>
  </si>
  <si>
    <t>CRMS0522.E01</t>
  </si>
  <si>
    <t>CRMS0523.E01</t>
  </si>
  <si>
    <t>CRMS0524.E01</t>
  </si>
  <si>
    <t>10/13/2008</t>
  </si>
  <si>
    <t>CRMS0529.E01</t>
  </si>
  <si>
    <t>CRMS0530.E01</t>
  </si>
  <si>
    <t>CRMS0531.E01</t>
  </si>
  <si>
    <t>10/30/2008</t>
  </si>
  <si>
    <t>CRMS0535.E01</t>
  </si>
  <si>
    <t>11/13/2008</t>
  </si>
  <si>
    <t>CRMS0536.E01</t>
  </si>
  <si>
    <t>10/16/2008</t>
  </si>
  <si>
    <t>8/20/2020</t>
  </si>
  <si>
    <t>CRMS0584.E01</t>
  </si>
  <si>
    <t>3/15/2020</t>
  </si>
  <si>
    <t>CRMS0587.E01</t>
  </si>
  <si>
    <t>4/22/2008</t>
  </si>
  <si>
    <t>8/17/2020</t>
  </si>
  <si>
    <t>CRMS0588.E01</t>
  </si>
  <si>
    <t>10/15/2007</t>
  </si>
  <si>
    <t>CRMS0608.E01</t>
  </si>
  <si>
    <t>CRMS0622.E01</t>
  </si>
  <si>
    <t>CRMS0630.E02</t>
  </si>
  <si>
    <t>3/15/2011</t>
  </si>
  <si>
    <t>CRMS0632.E01</t>
  </si>
  <si>
    <t>10/15/2008</t>
  </si>
  <si>
    <t>CRMS0633.E01</t>
  </si>
  <si>
    <t>CRMS0661.E02</t>
  </si>
  <si>
    <t>3/17/2010</t>
  </si>
  <si>
    <t>CRMS0665.E01</t>
  </si>
  <si>
    <t>CRMS0669.E01</t>
  </si>
  <si>
    <t>3/18/2020</t>
  </si>
  <si>
    <t>CRMS0682.E01</t>
  </si>
  <si>
    <t>3/31/2008</t>
  </si>
  <si>
    <t>CRMS0683.E02</t>
  </si>
  <si>
    <t>3/31/2010</t>
  </si>
  <si>
    <t>CRMS0684.E01</t>
  </si>
  <si>
    <t>3/19/2010</t>
  </si>
  <si>
    <t>CRMS0685.E01</t>
  </si>
  <si>
    <t>CRMS2154.E02</t>
  </si>
  <si>
    <t>CRMS2156.E02</t>
  </si>
  <si>
    <t>3/15/2010</t>
  </si>
  <si>
    <t>CRMS2189.E01</t>
  </si>
  <si>
    <t>CRMS2219.E01</t>
  </si>
  <si>
    <t>Blackwater.7A.1</t>
  </si>
  <si>
    <t>ATLANTIC NTH AMERICA</t>
  </si>
  <si>
    <t>Blackwater.7A</t>
  </si>
  <si>
    <t>Schoenoplectus americanus</t>
  </si>
  <si>
    <t>Embayment</t>
  </si>
  <si>
    <t>7/15/2005</t>
  </si>
  <si>
    <t>Blackwater.7A.3</t>
  </si>
  <si>
    <t>Blackwater.7D.1</t>
  </si>
  <si>
    <t>Blackwater.7D</t>
  </si>
  <si>
    <t>Blackwater.7D.4</t>
  </si>
  <si>
    <t>Spartina alterniflora</t>
  </si>
  <si>
    <t>Fishing.Bay.8A.2</t>
  </si>
  <si>
    <t>Fishing.Bay.8A</t>
  </si>
  <si>
    <t>Spartina patens, Distichlis spicata, Schoenoplectus americanus</t>
  </si>
  <si>
    <t>7/19/2005</t>
  </si>
  <si>
    <t>6/26/2019</t>
  </si>
  <si>
    <t>Fishing.Bay.8A.3</t>
  </si>
  <si>
    <t>Schoenoplectus americanus, Spartina patens, Distichlis spicata</t>
  </si>
  <si>
    <t>Fishing.Bay.8D.1</t>
  </si>
  <si>
    <t>Fishing.Bay.8D</t>
  </si>
  <si>
    <t>Spartina patens, Schoenoplectus americanus, Spartina alterniflora</t>
  </si>
  <si>
    <t>Fishing.Bay.8D.4</t>
  </si>
  <si>
    <t>Hog.Island.SERC.2</t>
  </si>
  <si>
    <t>Hog.Island</t>
  </si>
  <si>
    <t>7/28/2005</t>
  </si>
  <si>
    <t>Hog.Island.SERC.3</t>
  </si>
  <si>
    <t>Schoenoplectus americanus, Distichlis spicata, Spartina patens</t>
  </si>
  <si>
    <t>Eastern.Neck.2</t>
  </si>
  <si>
    <t>Eastern.Neck</t>
  </si>
  <si>
    <t>Schoenoplectus americanus, Spartina patens</t>
  </si>
  <si>
    <t>Eastern.Neck.3</t>
  </si>
  <si>
    <t>Schoenoplectus americanus, Lythrum lineare</t>
  </si>
  <si>
    <t>Saxis.2</t>
  </si>
  <si>
    <t>Saxis</t>
  </si>
  <si>
    <t>Spartina patens, Distichlis spicata</t>
  </si>
  <si>
    <t>3/23/2006</t>
  </si>
  <si>
    <t>Saxis.4</t>
  </si>
  <si>
    <t>Distichlis spicata, Spartina patens</t>
  </si>
  <si>
    <t>Bombay.Hook.2</t>
  </si>
  <si>
    <t>Bombay.Hook</t>
  </si>
  <si>
    <t>Distichlis spicata, Spartina patens, Schoenoplectus americanus</t>
  </si>
  <si>
    <t>Bombay.Hook.3</t>
  </si>
  <si>
    <t>Spartina patens, Schoenoplectus americanus, Distichlis spicata</t>
  </si>
  <si>
    <t>Dipper.Harbour.B1</t>
  </si>
  <si>
    <t>Canada</t>
  </si>
  <si>
    <t>Dipper.Harbour</t>
  </si>
  <si>
    <t>Spartina patens</t>
  </si>
  <si>
    <t>Dipper.Harbour.C1</t>
  </si>
  <si>
    <t>Dipper.Harbour.F1</t>
  </si>
  <si>
    <t>Spartina Patens</t>
  </si>
  <si>
    <t>Dipper.Harbour.H1</t>
  </si>
  <si>
    <t>Kouchibouguac.1</t>
  </si>
  <si>
    <t>Kouchibouguac</t>
  </si>
  <si>
    <t>8/28/2006</t>
  </si>
  <si>
    <t>Kouchibouguac.4</t>
  </si>
  <si>
    <t>Kouchibouguac.6</t>
  </si>
  <si>
    <t>Kouchibouguac.8</t>
  </si>
  <si>
    <t>Martinique.Beach.2</t>
  </si>
  <si>
    <t>Martinique.Beach</t>
  </si>
  <si>
    <t>Juncus gerardii</t>
  </si>
  <si>
    <t>10/13/2017</t>
  </si>
  <si>
    <t>Martinique.Beach.4</t>
  </si>
  <si>
    <t>North.Inlet.1</t>
  </si>
  <si>
    <t>North.Inlet</t>
  </si>
  <si>
    <t>Borrichia frutescens, Juncus roemerianus</t>
  </si>
  <si>
    <t>5/18/2006</t>
  </si>
  <si>
    <t>11/13/2013</t>
  </si>
  <si>
    <t>North.Inlet.4</t>
  </si>
  <si>
    <t>Juncus roemerianus, Borrichia frutescens</t>
  </si>
  <si>
    <t>Rachel.Carson.1</t>
  </si>
  <si>
    <t>Rachel.Carson</t>
  </si>
  <si>
    <t>Distichlis spicata, Juncus gerardii, Glaux maritima</t>
  </si>
  <si>
    <t>5/24/2006</t>
  </si>
  <si>
    <t>10/21/2019</t>
  </si>
  <si>
    <t>Rachel.Carson.3</t>
  </si>
  <si>
    <t>Glaux maritima, Juncus gerardii, Distichlis spicata</t>
  </si>
  <si>
    <t>Assateague.M11.1</t>
  </si>
  <si>
    <t>Assateague.M11</t>
  </si>
  <si>
    <t>Spartina alt / Salicornia- wet site!</t>
  </si>
  <si>
    <t>6/22/2009</t>
  </si>
  <si>
    <t>9/17/2018</t>
  </si>
  <si>
    <t>Assateague.M11.2</t>
  </si>
  <si>
    <t>Spartina alter/Dist spicata/Salicornia</t>
  </si>
  <si>
    <t>Assateague.M11.4</t>
  </si>
  <si>
    <t>Assateague.M5.1</t>
  </si>
  <si>
    <t>Assateague.M5</t>
  </si>
  <si>
    <t>Spartina alterniflora/Salicornina/dist spicata - wet site</t>
  </si>
  <si>
    <t>6/23/2009</t>
  </si>
  <si>
    <t>9/18/2018</t>
  </si>
  <si>
    <t>Assateague.M5.3</t>
  </si>
  <si>
    <t>Spartina paten/Dist spicata</t>
  </si>
  <si>
    <t>Assateague.M5.4</t>
  </si>
  <si>
    <t>Distichlis spicata - wet site!</t>
  </si>
  <si>
    <t>Assateague.M6.1</t>
  </si>
  <si>
    <t>Assateague.M6</t>
  </si>
  <si>
    <t>Assateague.M6.2</t>
  </si>
  <si>
    <t>Assateague.M6.3</t>
  </si>
  <si>
    <t>Spartina alterniflora/ salicornia</t>
  </si>
  <si>
    <t>Assateague.M8.1</t>
  </si>
  <si>
    <t>Assateague.M8</t>
  </si>
  <si>
    <t>Assateague.M8.2</t>
  </si>
  <si>
    <t>Spartina alterniflora / Salicornia</t>
  </si>
  <si>
    <t>Assateague.M8.3</t>
  </si>
  <si>
    <t>Black.Bank.1</t>
  </si>
  <si>
    <t>Black.Bank</t>
  </si>
  <si>
    <t>8/28/2002</t>
  </si>
  <si>
    <t>Black.Bank.2</t>
  </si>
  <si>
    <t>Black.Bank.3</t>
  </si>
  <si>
    <t>Great.Gun.1</t>
  </si>
  <si>
    <t>Great.Gun</t>
  </si>
  <si>
    <t>Spartina alt - NOTE: Very low site - sparse vegetation</t>
  </si>
  <si>
    <t>8/14/2002</t>
  </si>
  <si>
    <t>Great.Gun.2</t>
  </si>
  <si>
    <t>Spartina alt - NOTE: Low site -sparse vegetation</t>
  </si>
  <si>
    <t>Great.Gun.3</t>
  </si>
  <si>
    <t>Spartina alt</t>
  </si>
  <si>
    <t>Hospital.Point.1</t>
  </si>
  <si>
    <t>Hospital.Point</t>
  </si>
  <si>
    <t>8/15/2002</t>
  </si>
  <si>
    <t>Hospital.Point.2</t>
  </si>
  <si>
    <t>Hospital.Point.3</t>
  </si>
  <si>
    <t>JOCO.1</t>
  </si>
  <si>
    <t>JOCO</t>
  </si>
  <si>
    <t>Spartina alterniflora/patens</t>
  </si>
  <si>
    <t>8/29/2002</t>
  </si>
  <si>
    <t>JOCO.2</t>
  </si>
  <si>
    <t>JOCO.3</t>
  </si>
  <si>
    <t>JOCO.ref.1</t>
  </si>
  <si>
    <t>JOCO.ref</t>
  </si>
  <si>
    <t>11/29/2006</t>
  </si>
  <si>
    <t>JOCO.ref.2</t>
  </si>
  <si>
    <t>JOCO.ref.3</t>
  </si>
  <si>
    <t>Great.Meadows.1</t>
  </si>
  <si>
    <t>Great.Meadow</t>
  </si>
  <si>
    <t>Spartina alterniflora, Spartina patens, Distichilis spicata</t>
  </si>
  <si>
    <t>5/23/2006</t>
  </si>
  <si>
    <t>10/20/2019</t>
  </si>
  <si>
    <t>Great.Meadows.3</t>
  </si>
  <si>
    <t>MCHT.1</t>
  </si>
  <si>
    <t>MCHT</t>
  </si>
  <si>
    <t>Distichlis spicata, Spartina patens, Spart alterniflora, juncus gerardii</t>
  </si>
  <si>
    <t>9/20/2011</t>
  </si>
  <si>
    <t>MCHT.2</t>
  </si>
  <si>
    <t>Juncus gerardii, triglochin sp.</t>
  </si>
  <si>
    <t>MCHT.3</t>
  </si>
  <si>
    <t>spartina patens</t>
  </si>
  <si>
    <t>Bass.Harbor.1</t>
  </si>
  <si>
    <t>Bass.Harbor</t>
  </si>
  <si>
    <t>Spartina patens, juncus gerardii, salicornia, spart alterniflora</t>
  </si>
  <si>
    <t>Bass.Harbor.2</t>
  </si>
  <si>
    <t>Spartina alterniflora, spartina patens</t>
  </si>
  <si>
    <t>Bass.Harbor.3</t>
  </si>
  <si>
    <t>Spartina patens, Atriplex sp.</t>
  </si>
  <si>
    <t>Acadia.Thompson.Island.1</t>
  </si>
  <si>
    <t>Acadia.Thompson.Island</t>
  </si>
  <si>
    <t>9/21/2011</t>
  </si>
  <si>
    <t>Acadia.Thompson.Island.2</t>
  </si>
  <si>
    <t>Acadia.Thompson.Island.3</t>
  </si>
  <si>
    <t>Peddocks.Island.1</t>
  </si>
  <si>
    <t>Peddocks.Island</t>
  </si>
  <si>
    <t>Distichlis/S patens</t>
  </si>
  <si>
    <t>4/19/2010</t>
  </si>
  <si>
    <t>Peddocks.Island.2</t>
  </si>
  <si>
    <t>Spartina alt/patens/Distichlis</t>
  </si>
  <si>
    <t>Peddocks.Island.3</t>
  </si>
  <si>
    <t>Juncus/salicornia/patens</t>
  </si>
  <si>
    <t>BH.Thompson.Island.1</t>
  </si>
  <si>
    <t>BH.Thompson.Island</t>
  </si>
  <si>
    <t>BH.Thompson.Island.2</t>
  </si>
  <si>
    <t>BH.Thompson.Island.3</t>
  </si>
  <si>
    <t>BH.Thompson.Island.4</t>
  </si>
  <si>
    <t>Sandy.Hook.1</t>
  </si>
  <si>
    <t>Sandy.Hook</t>
  </si>
  <si>
    <t>4/30/2003</t>
  </si>
  <si>
    <t>10/15/2018</t>
  </si>
  <si>
    <t>Sandy.Hook.2</t>
  </si>
  <si>
    <t>Sandy.Hook.3</t>
  </si>
  <si>
    <t>Watch.Hill.1</t>
  </si>
  <si>
    <t>Watch.Hill</t>
  </si>
  <si>
    <t>Watch.Hill.2</t>
  </si>
  <si>
    <t>Watch.Hill.3</t>
  </si>
  <si>
    <t>Cararma.Inlet.SM.1</t>
  </si>
  <si>
    <t>AUSTRALIA</t>
  </si>
  <si>
    <t>Australia</t>
  </si>
  <si>
    <t>Cararma.Inlet</t>
  </si>
  <si>
    <t>Sarcocornia</t>
  </si>
  <si>
    <t>Cararma.Inlet.SM.2</t>
  </si>
  <si>
    <t>Cararma.Inlet.SM.3</t>
  </si>
  <si>
    <t>Currambene.Ck.MIX.1</t>
  </si>
  <si>
    <t>Currambene.Ck</t>
  </si>
  <si>
    <t>Sporobolus + Avicennia</t>
  </si>
  <si>
    <t>Currambene.Ck.MIX.2</t>
  </si>
  <si>
    <t>Currambene.Ck.MIX.3</t>
  </si>
  <si>
    <t>Currambene.Ck.SM.1</t>
  </si>
  <si>
    <t>Currambene.Ck.SM.2</t>
  </si>
  <si>
    <t>Currambene.Ck.SM.3</t>
  </si>
  <si>
    <t>Homebush.B.1</t>
  </si>
  <si>
    <t>Homebush</t>
  </si>
  <si>
    <t>Sarcocornia + Avicennia</t>
  </si>
  <si>
    <t>Drowned River Valley</t>
  </si>
  <si>
    <t>8/31/2015</t>
  </si>
  <si>
    <t>Homebush.B.2</t>
  </si>
  <si>
    <t>Homebush.B.3</t>
  </si>
  <si>
    <t>8/15/2000</t>
  </si>
  <si>
    <t>Homebush.C.1</t>
  </si>
  <si>
    <t>Homebush.C.2</t>
  </si>
  <si>
    <t>Homebush.C.3</t>
  </si>
  <si>
    <t>Kooweerup.SM.1</t>
  </si>
  <si>
    <t>Kooweerup</t>
  </si>
  <si>
    <t>Tecticornia</t>
  </si>
  <si>
    <t>salt bush</t>
  </si>
  <si>
    <t>10/18/2000</t>
  </si>
  <si>
    <t>Kooweerup.SM.2</t>
  </si>
  <si>
    <t>Kooweerup.SM.3</t>
  </si>
  <si>
    <t>QuaillIsland.SM.1</t>
  </si>
  <si>
    <t>QuaillIsland</t>
  </si>
  <si>
    <t>10/16/2000</t>
  </si>
  <si>
    <t>11/14/2019</t>
  </si>
  <si>
    <t>QuaillIsland.SM.2</t>
  </si>
  <si>
    <t>QuaillIsland.SM.3</t>
  </si>
  <si>
    <t>Rhyll.SM.1</t>
  </si>
  <si>
    <t>Rhyll</t>
  </si>
  <si>
    <t>10/17/2000</t>
  </si>
  <si>
    <t>11/13/2019</t>
  </si>
  <si>
    <t>Rhyll.SM.2</t>
  </si>
  <si>
    <t>Rhyll.SM.3</t>
  </si>
  <si>
    <t>FrenchIsland.SM.1</t>
  </si>
  <si>
    <t>FrenchIsland</t>
  </si>
  <si>
    <t>10/15/2000</t>
  </si>
  <si>
    <t>FrenchIsland.SM.2</t>
  </si>
  <si>
    <t>FrenchIsland.SM.3</t>
  </si>
  <si>
    <t>Minnamurra.SM.1</t>
  </si>
  <si>
    <t>Minnamurra</t>
  </si>
  <si>
    <t>3/15/2017</t>
  </si>
  <si>
    <t>Minnamurra.SM.2</t>
  </si>
  <si>
    <t>Minnamurra.SM.3</t>
  </si>
  <si>
    <t>Tweed.River.SM.1</t>
  </si>
  <si>
    <t>Tweed.River</t>
  </si>
  <si>
    <t>Sporobolus</t>
  </si>
  <si>
    <t>11/30/2000</t>
  </si>
  <si>
    <t>1/23/2018</t>
  </si>
  <si>
    <t>Tweed.River.SM.2</t>
  </si>
  <si>
    <t>Tweed.River.SM.3</t>
  </si>
  <si>
    <t>Berowra.1</t>
  </si>
  <si>
    <t>Berowra Creek, Hawkesbury River</t>
  </si>
  <si>
    <t>Berowra.2</t>
  </si>
  <si>
    <t>Berowra.3</t>
  </si>
  <si>
    <t>Kooragang.1</t>
  </si>
  <si>
    <t>Kooragang Island, Hunter River</t>
  </si>
  <si>
    <t>1/29/2002</t>
  </si>
  <si>
    <t>Kooragang.2</t>
  </si>
  <si>
    <t>Kooragang.3</t>
  </si>
  <si>
    <t>Tinchi.1</t>
  </si>
  <si>
    <t>Tinchi</t>
  </si>
  <si>
    <t>Sarcocornia + Suaeda</t>
  </si>
  <si>
    <t>3/16/2007</t>
  </si>
  <si>
    <t>Tinchi.2</t>
  </si>
  <si>
    <t>Tinchi.3</t>
  </si>
  <si>
    <t>Nundah.1</t>
  </si>
  <si>
    <t>Nundah</t>
  </si>
  <si>
    <t>3/19/2007</t>
  </si>
  <si>
    <t>10/18/2018</t>
  </si>
  <si>
    <t>Nundah.2</t>
  </si>
  <si>
    <t>Nundah.3</t>
  </si>
  <si>
    <t>Halloran.1</t>
  </si>
  <si>
    <t>Halloran</t>
  </si>
  <si>
    <t>3/22/2007</t>
  </si>
  <si>
    <t>Halloran.2</t>
  </si>
  <si>
    <t>Halloran.3</t>
  </si>
  <si>
    <t>Amity.south.1</t>
  </si>
  <si>
    <t>Amity.south</t>
  </si>
  <si>
    <t>11/13/2018</t>
  </si>
  <si>
    <t>Amity.south.2</t>
  </si>
  <si>
    <t>Amity.south.3</t>
  </si>
  <si>
    <t>Amity.North.1</t>
  </si>
  <si>
    <t>Amity.North</t>
  </si>
  <si>
    <t>3/23/2007</t>
  </si>
  <si>
    <t>Amity.North.2</t>
  </si>
  <si>
    <t>Amity.North.3</t>
  </si>
  <si>
    <t>Adams.1</t>
  </si>
  <si>
    <t>Adams</t>
  </si>
  <si>
    <t>6/13/2007</t>
  </si>
  <si>
    <t>Adams.2</t>
  </si>
  <si>
    <t>11/14/2018</t>
  </si>
  <si>
    <t>Adams.3</t>
  </si>
  <si>
    <t>Bolinas.Lagoon.BH.1</t>
  </si>
  <si>
    <t>PACIFIC NORTH AMERICA</t>
  </si>
  <si>
    <t>Bolinas Lagoon</t>
  </si>
  <si>
    <t>Salicornia pacifica, Distichilis spicata</t>
  </si>
  <si>
    <t>Bolinas.Lagoon.BH.2</t>
  </si>
  <si>
    <t>Salicornia pacifica</t>
  </si>
  <si>
    <t>Bolinas.Lagoon.BL.3</t>
  </si>
  <si>
    <t>Bolinas.Lagoon.BL.4</t>
  </si>
  <si>
    <t>Browns.Island.BIH3</t>
  </si>
  <si>
    <t>Browns Island</t>
  </si>
  <si>
    <t>Scirpus spp</t>
  </si>
  <si>
    <t>2/22/2016</t>
  </si>
  <si>
    <t>9/24/2019</t>
  </si>
  <si>
    <t>Browns.Island.BIH4</t>
  </si>
  <si>
    <t>Browns.Island.BIL1</t>
  </si>
  <si>
    <t>Schoenoplectus</t>
  </si>
  <si>
    <t>Browns.Island.BIL2</t>
  </si>
  <si>
    <t>Humboldt.Bay.HOK.1</t>
  </si>
  <si>
    <t>Humboldt Bay</t>
  </si>
  <si>
    <t>Salicornia pacifica/Distichilis spicata</t>
  </si>
  <si>
    <t>11/22/2015</t>
  </si>
  <si>
    <t>Humboldt.Bay.HOK.2</t>
  </si>
  <si>
    <t>Humboldt.Bay.JAC.1</t>
  </si>
  <si>
    <t>Distichilis spicata/Spartina densiflora</t>
  </si>
  <si>
    <t>Humboldt.Bay.JAC.2</t>
  </si>
  <si>
    <t>Spartina densiflora/Distichilis spicata</t>
  </si>
  <si>
    <t>Humboldt.Bay.MRH.1</t>
  </si>
  <si>
    <t>Distichilis spicata/Triglochin concinna</t>
  </si>
  <si>
    <t>6/20/2013</t>
  </si>
  <si>
    <t>Humboldt.Bay.MRH.2</t>
  </si>
  <si>
    <t>Humboldt.Bay.MRL.1</t>
  </si>
  <si>
    <t>Spartina densiflora</t>
  </si>
  <si>
    <t>Humboldt.Bay.MRL.2</t>
  </si>
  <si>
    <t>Spartina densifora</t>
  </si>
  <si>
    <t>Humboldt.Bay.WHS.1</t>
  </si>
  <si>
    <t>Humboldt.Bay.WHS.2</t>
  </si>
  <si>
    <t>Morro.MBH.1</t>
  </si>
  <si>
    <t>Morro</t>
  </si>
  <si>
    <t>4/17/2013</t>
  </si>
  <si>
    <t>Morro.MBH.2</t>
  </si>
  <si>
    <t>Morro.MBL.3</t>
  </si>
  <si>
    <t>Morro.MBL.4</t>
  </si>
  <si>
    <t>Nisqually.Ref.A</t>
  </si>
  <si>
    <t>Nisqually</t>
  </si>
  <si>
    <t>Distichilis spicata</t>
  </si>
  <si>
    <t>4/24/2018</t>
  </si>
  <si>
    <t>Nisqually.Ref.B</t>
  </si>
  <si>
    <t>Nisqually.Ref.C</t>
  </si>
  <si>
    <t>Petaluma.PETH1</t>
  </si>
  <si>
    <t>Petaluma</t>
  </si>
  <si>
    <t>2/18/2016</t>
  </si>
  <si>
    <t>8/22/2019</t>
  </si>
  <si>
    <t>Petaluma.PETH2</t>
  </si>
  <si>
    <t>Petaluma.PETL1</t>
  </si>
  <si>
    <t>Salicornia pacifica/Jaumea canosa</t>
  </si>
  <si>
    <t>Petaluma.PETL2</t>
  </si>
  <si>
    <t>Rush.Ranch.RRH1</t>
  </si>
  <si>
    <t>Rush Ranch</t>
  </si>
  <si>
    <t>Salicornia pacifica/Jaumea carnosa/ Distichilis spicata/Triglochin spp</t>
  </si>
  <si>
    <t>2/25/2016</t>
  </si>
  <si>
    <t>Rush.Ranch.RRH2</t>
  </si>
  <si>
    <t>Salicornia pacifica/Distichilis spicata/Jaumea canosa</t>
  </si>
  <si>
    <t>Rush.Ranch.RRL1</t>
  </si>
  <si>
    <t>Juncus, Distichilis spicata/Potentilla anserina/Salicornia pacific/Jaumea Carnosa/Schoenoplectus</t>
  </si>
  <si>
    <t>Rush.Ranch.RRL2</t>
  </si>
  <si>
    <t>Juncus spp</t>
  </si>
  <si>
    <t>San.Pablo.SPH.3</t>
  </si>
  <si>
    <t>San Pablo</t>
  </si>
  <si>
    <t>San.Pablo.SPH.4</t>
  </si>
  <si>
    <t>San.Pablo.SPL.1</t>
  </si>
  <si>
    <t>Spartina foliosa</t>
  </si>
  <si>
    <t>San.Pablo.SPL.2</t>
  </si>
  <si>
    <t>Newport.NBH1</t>
  </si>
  <si>
    <t>Newport</t>
  </si>
  <si>
    <t>9/24/2018</t>
  </si>
  <si>
    <t>Newport.NBH2</t>
  </si>
  <si>
    <t>Newport.NBL1</t>
  </si>
  <si>
    <t>Newport.NBL2</t>
  </si>
  <si>
    <t>Pt.Mugu.PMH3</t>
  </si>
  <si>
    <t>Pt Mugu</t>
  </si>
  <si>
    <t>4/27/2013</t>
  </si>
  <si>
    <t>8/29/2019</t>
  </si>
  <si>
    <t>Pt.Mugu.PMH4</t>
  </si>
  <si>
    <t>Pt.Mugu.PML1</t>
  </si>
  <si>
    <t>Salicornia pacifica/Frankenia salina</t>
  </si>
  <si>
    <t>Pt.Mugu.PML2</t>
  </si>
  <si>
    <t>Seal.Beach.SB.C1</t>
  </si>
  <si>
    <t>Seal Beach</t>
  </si>
  <si>
    <t>8/27/2015</t>
  </si>
  <si>
    <t>8/27/2019</t>
  </si>
  <si>
    <t>Seal.Beach.SB.C2</t>
  </si>
  <si>
    <t>Seal.Beach.SB.C3</t>
  </si>
  <si>
    <t>Seal.Beach.SB.C4</t>
  </si>
  <si>
    <t>Seal.Beach.SB.C5</t>
  </si>
  <si>
    <t>Seal.Beach.SB.C6</t>
  </si>
  <si>
    <t>Seal.Beach.SBH1</t>
  </si>
  <si>
    <t>8/28/2019</t>
  </si>
  <si>
    <t>Seal.Beach.SBH2</t>
  </si>
  <si>
    <t>Seal.Beach.SBL1</t>
  </si>
  <si>
    <t>Salicornia pacifica/Spartina foliosa/Jaumea canosa</t>
  </si>
  <si>
    <t>Seal.Beach.SBL2</t>
  </si>
  <si>
    <t>Tijuana.TJE1</t>
  </si>
  <si>
    <t>Tijuana</t>
  </si>
  <si>
    <t>Tijuana.TJE2</t>
  </si>
  <si>
    <t>Tijuana.TJE3</t>
  </si>
  <si>
    <t>Tijuana.TJE4</t>
  </si>
  <si>
    <t>Swartkops.1</t>
  </si>
  <si>
    <t>SOUTH AFRICA</t>
  </si>
  <si>
    <t>South Africa</t>
  </si>
  <si>
    <t>Swartkops Estuary</t>
  </si>
  <si>
    <t>Spartina maritima</t>
  </si>
  <si>
    <t>Swartkops.2</t>
  </si>
  <si>
    <t>Swartkops.3</t>
  </si>
  <si>
    <t>Swartkops.4</t>
  </si>
  <si>
    <t>6/22/2018</t>
  </si>
  <si>
    <t>Swartkops.5</t>
  </si>
  <si>
    <t>Swartkops.6</t>
  </si>
  <si>
    <t>Swartkops.7</t>
  </si>
  <si>
    <t>Swartkops.8</t>
  </si>
  <si>
    <t>Nauset.Marsh.Old.N1</t>
  </si>
  <si>
    <t>Nauset.Marsh</t>
  </si>
  <si>
    <t>10/16/2018</t>
  </si>
  <si>
    <t>Nauset.Marsh.Old.N2</t>
  </si>
  <si>
    <t>Nauset.Marsh.Old.N3</t>
  </si>
  <si>
    <t>Nauset.Marsh.Old.N4</t>
  </si>
  <si>
    <t>Knysna.2</t>
  </si>
  <si>
    <t>Knysna</t>
  </si>
  <si>
    <t>8/17/2018</t>
  </si>
  <si>
    <t>Knysna.3</t>
  </si>
  <si>
    <t>Knysna.4</t>
  </si>
  <si>
    <t>8/29/2009</t>
  </si>
  <si>
    <t>Knysna.5</t>
  </si>
  <si>
    <t>8/28/2009</t>
  </si>
  <si>
    <t>Knysna.6</t>
  </si>
  <si>
    <t>Knysna.8</t>
  </si>
  <si>
    <t>Knysna.9</t>
  </si>
  <si>
    <t>Scheldt.R1</t>
  </si>
  <si>
    <t>Belgium</t>
  </si>
  <si>
    <t>Scheldt Estuary, Belgium</t>
  </si>
  <si>
    <t>Poa trivialis, with little Impatiens glandulifera and Urtica Dioica</t>
  </si>
  <si>
    <t>2/21/2020</t>
  </si>
  <si>
    <t>Scheldt.R2</t>
  </si>
  <si>
    <t>Impatiens glandulifera, with some Urtica dioica and Poa trivialis</t>
  </si>
  <si>
    <t>Scheldt.R3</t>
  </si>
  <si>
    <t>Poa trivialis with Impatiens glandulifera and Urtica dioica</t>
  </si>
  <si>
    <t>St.Croix.1</t>
  </si>
  <si>
    <t>St Croix</t>
  </si>
  <si>
    <t>Poa palustris, Scirpus atrovirens</t>
  </si>
  <si>
    <t>St.Croix.2</t>
  </si>
  <si>
    <t>Carex paleacea</t>
  </si>
  <si>
    <t>Cogmagun.1</t>
  </si>
  <si>
    <t>Cogmagun</t>
  </si>
  <si>
    <t>Elymus repens, Fesutca rubra</t>
  </si>
  <si>
    <t>Cogmagun.2</t>
  </si>
  <si>
    <t>Cogmagun.3</t>
  </si>
  <si>
    <t>Bass.Creek.1</t>
  </si>
  <si>
    <t>Bass Creek</t>
  </si>
  <si>
    <t>Bass.Creek.2</t>
  </si>
  <si>
    <t>Spartina patens, Juncus gerardii</t>
  </si>
  <si>
    <t>Bass.Creek.3</t>
  </si>
  <si>
    <t>Walton.River.1</t>
  </si>
  <si>
    <t>Walton River</t>
  </si>
  <si>
    <t>Spartina patens, Spartina pectinata, Carax palacea</t>
  </si>
  <si>
    <t>Walton.River.2</t>
  </si>
  <si>
    <t>nerr_APA_B751</t>
  </si>
  <si>
    <t>APA</t>
  </si>
  <si>
    <t>4/17/2018</t>
  </si>
  <si>
    <t>nerr_APA_Baker 2011</t>
  </si>
  <si>
    <t>10/23/2012</t>
  </si>
  <si>
    <t>5/20/2018</t>
  </si>
  <si>
    <t>nerr_APA_C751</t>
  </si>
  <si>
    <t>10/19/2012</t>
  </si>
  <si>
    <t>nerr_APA_D751</t>
  </si>
  <si>
    <t>10/18/2012</t>
  </si>
  <si>
    <t>4/18/2018</t>
  </si>
  <si>
    <t>nerr_APA_E751</t>
  </si>
  <si>
    <t>nerr_APA_Eastpoint1_2012</t>
  </si>
  <si>
    <t>nerr_APA_Eastpoint2_2012</t>
  </si>
  <si>
    <t>nerr_APA_F751</t>
  </si>
  <si>
    <t>nerr_APA_G751</t>
  </si>
  <si>
    <t>nerr_APA_Jeanne2011</t>
  </si>
  <si>
    <t>nerr_APA_Jenna2011</t>
  </si>
  <si>
    <t>10/25/2012</t>
  </si>
  <si>
    <t>nerr_APA_Kim2011</t>
  </si>
  <si>
    <t>nerr_APA_Nicks Hole 1 2012</t>
  </si>
  <si>
    <t>nerr_APA_Nicks Hole 2 2012</t>
  </si>
  <si>
    <t>nerr_APA_Pilots Cove1 2012</t>
  </si>
  <si>
    <t>4/15/2013</t>
  </si>
  <si>
    <t>4/23/2018</t>
  </si>
  <si>
    <t>nerr_APA_Pilots Cove2 2012</t>
  </si>
  <si>
    <t>nerr_APA_Unit4 1 2012</t>
  </si>
  <si>
    <t>nerr_APA_Unit4 2 2012</t>
  </si>
  <si>
    <t>nerr_APA_Wanat 2011</t>
  </si>
  <si>
    <t>nerr_APA_Wren 2011</t>
  </si>
  <si>
    <t>nerr_GI 1-1</t>
  </si>
  <si>
    <t>CBV</t>
  </si>
  <si>
    <t>short-form and tall-form Spartina alterniflora</t>
  </si>
  <si>
    <t>9/20/2018</t>
  </si>
  <si>
    <t>nerr_GI 2-1</t>
  </si>
  <si>
    <t>short-form Spartina alterniflora</t>
  </si>
  <si>
    <t>8/21/2009</t>
  </si>
  <si>
    <t>nerr_GI 3-1</t>
  </si>
  <si>
    <t>tall-form Spartina alterniflora</t>
  </si>
  <si>
    <t>9/19/2018</t>
  </si>
  <si>
    <t>nerr_GI 3-2</t>
  </si>
  <si>
    <t>nerr_GI 3-3</t>
  </si>
  <si>
    <t>Juncus roemerianus</t>
  </si>
  <si>
    <t>nerr_GI 4-1</t>
  </si>
  <si>
    <t>nerr_GI 4-2</t>
  </si>
  <si>
    <t>nerr_GI 5-1</t>
  </si>
  <si>
    <t>5/20/2011</t>
  </si>
  <si>
    <t>nerr_GI 5-2</t>
  </si>
  <si>
    <t>nerr_SJIP_deep</t>
  </si>
  <si>
    <t>DEL</t>
  </si>
  <si>
    <t>Spartina alterniflora (short)</t>
  </si>
  <si>
    <t>3/26/2019</t>
  </si>
  <si>
    <t>nerr_SJBW_deep</t>
  </si>
  <si>
    <t>6/22/2004</t>
  </si>
  <si>
    <t>5/27/2021</t>
  </si>
  <si>
    <t>nerr_BBEN_deep</t>
  </si>
  <si>
    <t>12/16/2004</t>
  </si>
  <si>
    <t>6/14/2018</t>
  </si>
  <si>
    <t>nerr_BBDL_deep</t>
  </si>
  <si>
    <t>2/15/2005</t>
  </si>
  <si>
    <t>nerr_BBLR_deep</t>
  </si>
  <si>
    <t>Scirpus americanus</t>
  </si>
  <si>
    <t>12/14/2004</t>
  </si>
  <si>
    <t>nerr_ELK_AZEN</t>
  </si>
  <si>
    <t>ELK</t>
  </si>
  <si>
    <t>BarrierEstuary</t>
  </si>
  <si>
    <t>9/17/2017</t>
  </si>
  <si>
    <t>nerr_ELK_BIGW</t>
  </si>
  <si>
    <t>nerr_ELK_RNDN</t>
  </si>
  <si>
    <t>nerr_ELK_RUBS</t>
  </si>
  <si>
    <t>9/29/2006</t>
  </si>
  <si>
    <t>nerr_ELK_AZES</t>
  </si>
  <si>
    <t>nerr_ELK_BIGE</t>
  </si>
  <si>
    <t>nerr_ELK_RNDS</t>
  </si>
  <si>
    <t>nerr_ELK_RUBN</t>
  </si>
  <si>
    <t>nerr_CLMAJ-1</t>
  </si>
  <si>
    <t>GND</t>
  </si>
  <si>
    <t>Cladium jamaicense</t>
  </si>
  <si>
    <t>2/29/2012</t>
  </si>
  <si>
    <t>11/21/2016</t>
  </si>
  <si>
    <t>nerr_CLMAJ-2</t>
  </si>
  <si>
    <t>nerr_CLMAJ-3</t>
  </si>
  <si>
    <t>nerr_JURO_Low-1</t>
  </si>
  <si>
    <t>2/28/2012</t>
  </si>
  <si>
    <t>11/22/2016</t>
  </si>
  <si>
    <t>nerr_JURO_Low-2</t>
  </si>
  <si>
    <t>nerr_JURO_Low-3</t>
  </si>
  <si>
    <t>nerr_JURO_Mid-1</t>
  </si>
  <si>
    <t>nerr_JURO_Mid-2</t>
  </si>
  <si>
    <t>nerr_JURO_Mid-3</t>
  </si>
  <si>
    <t>nerr_JURO_High-1</t>
  </si>
  <si>
    <t>nerr_JURO_High-2</t>
  </si>
  <si>
    <t>nerr_JURO_High-3</t>
  </si>
  <si>
    <t>nerr_SPALT-1</t>
  </si>
  <si>
    <t>11/23/2016</t>
  </si>
  <si>
    <t>nerr_SPALT-2</t>
  </si>
  <si>
    <t>nerr_SPALT-3</t>
  </si>
  <si>
    <t>nerr_00-A</t>
  </si>
  <si>
    <t>GTM</t>
  </si>
  <si>
    <t>10/31/2013</t>
  </si>
  <si>
    <t>nerr_00-B</t>
  </si>
  <si>
    <t>nerr_00-C</t>
  </si>
  <si>
    <t>nerr_01-A</t>
  </si>
  <si>
    <t>Batis maritima</t>
  </si>
  <si>
    <t>saltBush</t>
  </si>
  <si>
    <t>6/27/2013</t>
  </si>
  <si>
    <t>nerr_01-B</t>
  </si>
  <si>
    <t>6/28/2013</t>
  </si>
  <si>
    <t>nerr_01-C</t>
  </si>
  <si>
    <t>nerr_06-A</t>
  </si>
  <si>
    <t>nerr_06-B</t>
  </si>
  <si>
    <t>nerr_06-C</t>
  </si>
  <si>
    <t>nerr_22_A</t>
  </si>
  <si>
    <t>6/30/2013</t>
  </si>
  <si>
    <t>nerr_22-B</t>
  </si>
  <si>
    <t>nerr_22-C</t>
  </si>
  <si>
    <t>nerr_40-A</t>
  </si>
  <si>
    <t>12/13/2013</t>
  </si>
  <si>
    <t>nerr_40-B</t>
  </si>
  <si>
    <t>nerr_40-C</t>
  </si>
  <si>
    <t>nerr_46-A</t>
  </si>
  <si>
    <t>nerr_46-B</t>
  </si>
  <si>
    <t>nerr_46-C</t>
  </si>
  <si>
    <t>nerr_HF3</t>
  </si>
  <si>
    <t>MAR</t>
  </si>
  <si>
    <t>Distichlis spicata</t>
  </si>
  <si>
    <t>8/21/2013</t>
  </si>
  <si>
    <t>nerr_HF2</t>
  </si>
  <si>
    <t>nerr_HF1</t>
  </si>
  <si>
    <t>nerr_Nag 1</t>
  </si>
  <si>
    <t>NAR</t>
  </si>
  <si>
    <t>Salt meadow</t>
  </si>
  <si>
    <t>nerr_Nag 2</t>
  </si>
  <si>
    <t>nerr_Nag 3</t>
  </si>
  <si>
    <t>10/17/2018</t>
  </si>
  <si>
    <t>nerr_Nag 4</t>
  </si>
  <si>
    <t>nerr_Nag 5</t>
  </si>
  <si>
    <t>nerr_Nag 6</t>
  </si>
  <si>
    <t>nerr_Coggeshall 7</t>
  </si>
  <si>
    <t>9/28/2018</t>
  </si>
  <si>
    <t>nerr_Coggeshall 8</t>
  </si>
  <si>
    <t>nerr_Coggeshall 9</t>
  </si>
  <si>
    <t>9/30/2018</t>
  </si>
  <si>
    <t>nerr_Coggeshall 10</t>
  </si>
  <si>
    <t>nerr_Coggeshall 11</t>
  </si>
  <si>
    <t>nerr_Coggeshall 12</t>
  </si>
  <si>
    <t>Subsidence</t>
  </si>
  <si>
    <t>RSLR.contemporaneous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</si>
</sst>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S478"/>
  <sheetViews>
    <sheetView tabSelected="1" workbookViewId="0">
      <selection activeCell="G1" sqref="G1:G1048576"/>
    </sheetView>
  </sheetViews>
  <sheetFormatPr baseColWidth="10" defaultRowHeight="16" x14ac:dyDescent="0.2"/>
  <cols>
    <col min="1" max="1" width="18.83203125" customWidth="1"/>
    <col min="2" max="2" width="19.5" customWidth="1"/>
    <col min="3" max="6" width="10.83203125" customWidth="1"/>
  </cols>
  <sheetData>
    <row r="1" spans="1:4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35</v>
      </c>
      <c r="H1" t="s">
        <v>36</v>
      </c>
      <c r="I1" t="s">
        <v>34</v>
      </c>
      <c r="J1" t="s">
        <v>17</v>
      </c>
      <c r="K1" t="s">
        <v>19</v>
      </c>
      <c r="L1" t="s">
        <v>20</v>
      </c>
      <c r="M1" t="s">
        <v>926</v>
      </c>
      <c r="N1" t="s">
        <v>8</v>
      </c>
      <c r="O1" t="s">
        <v>927</v>
      </c>
      <c r="P1" t="s">
        <v>27</v>
      </c>
      <c r="Q1" t="s">
        <v>9</v>
      </c>
      <c r="R1" t="s">
        <v>10</v>
      </c>
      <c r="S1" t="s">
        <v>11</v>
      </c>
      <c r="T1" t="s">
        <v>21</v>
      </c>
      <c r="U1" t="s">
        <v>12</v>
      </c>
      <c r="V1" t="s">
        <v>13</v>
      </c>
      <c r="W1" t="s">
        <v>37</v>
      </c>
      <c r="X1" t="s">
        <v>18</v>
      </c>
      <c r="Y1" t="s">
        <v>38</v>
      </c>
      <c r="Z1" t="s">
        <v>33</v>
      </c>
      <c r="AA1" t="s">
        <v>39</v>
      </c>
      <c r="AB1" t="s">
        <v>40</v>
      </c>
      <c r="AC1" t="s">
        <v>14</v>
      </c>
      <c r="AD1" t="s">
        <v>15</v>
      </c>
      <c r="AE1" t="s">
        <v>6</v>
      </c>
      <c r="AF1" t="s">
        <v>7</v>
      </c>
      <c r="AG1" t="s">
        <v>16</v>
      </c>
      <c r="AH1" t="s">
        <v>22</v>
      </c>
      <c r="AI1" t="s">
        <v>23</v>
      </c>
      <c r="AJ1" t="s">
        <v>24</v>
      </c>
      <c r="AK1" t="s">
        <v>25</v>
      </c>
      <c r="AL1" t="s">
        <v>26</v>
      </c>
      <c r="AM1" t="s">
        <v>28</v>
      </c>
      <c r="AN1" t="s">
        <v>30</v>
      </c>
      <c r="AO1" t="s">
        <v>29</v>
      </c>
      <c r="AP1" t="s">
        <v>31</v>
      </c>
      <c r="AQ1" t="s">
        <v>32</v>
      </c>
      <c r="AR1" t="s">
        <v>41</v>
      </c>
      <c r="AS1" t="s">
        <v>42</v>
      </c>
    </row>
    <row r="2" spans="1:45" x14ac:dyDescent="0.2">
      <c r="A2" t="s">
        <v>43</v>
      </c>
      <c r="B2" t="s">
        <v>44</v>
      </c>
      <c r="C2" t="s">
        <v>45</v>
      </c>
      <c r="D2" t="s">
        <v>46</v>
      </c>
      <c r="E2">
        <v>40.682335999999999</v>
      </c>
      <c r="F2">
        <v>0.83530300000000002</v>
      </c>
      <c r="G2" s="1">
        <v>40065</v>
      </c>
      <c r="H2" s="1">
        <v>43377</v>
      </c>
      <c r="I2">
        <v>8.5890410960000008</v>
      </c>
      <c r="J2">
        <v>0</v>
      </c>
      <c r="K2">
        <v>2.4615879139999999</v>
      </c>
      <c r="L2">
        <v>0.64549288800000004</v>
      </c>
      <c r="M2">
        <f>+J2-K2</f>
        <v>-2.4615879139999999</v>
      </c>
      <c r="N2">
        <v>-0.21</v>
      </c>
      <c r="O2">
        <v>-2.46</v>
      </c>
      <c r="P2">
        <v>-9.7000000000000003E-2</v>
      </c>
      <c r="Q2">
        <v>0.1</v>
      </c>
      <c r="R2">
        <v>-0.1</v>
      </c>
      <c r="S2">
        <v>0</v>
      </c>
      <c r="T2">
        <v>0.2</v>
      </c>
      <c r="U2">
        <v>0.70833104999999996</v>
      </c>
      <c r="V2">
        <v>-3.0416552499999998</v>
      </c>
      <c r="W2">
        <v>22.399523569999999</v>
      </c>
      <c r="X2">
        <v>38.433581429999997</v>
      </c>
      <c r="Y2">
        <v>32.399523569999999</v>
      </c>
      <c r="Z2">
        <v>-4.9215879139999998</v>
      </c>
      <c r="AA2">
        <v>4.5</v>
      </c>
      <c r="AB2">
        <v>0.11</v>
      </c>
      <c r="AC2">
        <v>21.45</v>
      </c>
      <c r="AD2">
        <v>805</v>
      </c>
      <c r="AE2">
        <v>3.6574972670000001</v>
      </c>
      <c r="AF2">
        <v>1.7943636220000001</v>
      </c>
      <c r="AG2" t="s">
        <v>47</v>
      </c>
      <c r="AH2">
        <v>0</v>
      </c>
      <c r="AI2">
        <v>0</v>
      </c>
      <c r="AJ2">
        <v>1</v>
      </c>
      <c r="AK2">
        <v>0</v>
      </c>
      <c r="AL2" t="s">
        <v>48</v>
      </c>
      <c r="AM2" t="s">
        <v>49</v>
      </c>
      <c r="AN2">
        <v>2.87E-2</v>
      </c>
      <c r="AO2">
        <v>2.1600000000000001E-2</v>
      </c>
      <c r="AP2">
        <v>55.747500000000002</v>
      </c>
      <c r="AQ2">
        <v>0.11</v>
      </c>
      <c r="AR2">
        <v>1000</v>
      </c>
      <c r="AS2">
        <v>1000</v>
      </c>
    </row>
    <row r="3" spans="1:45" x14ac:dyDescent="0.2">
      <c r="A3" t="s">
        <v>50</v>
      </c>
      <c r="B3" t="s">
        <v>44</v>
      </c>
      <c r="C3" t="s">
        <v>45</v>
      </c>
      <c r="D3" t="s">
        <v>46</v>
      </c>
      <c r="E3">
        <v>40.681949000000003</v>
      </c>
      <c r="F3">
        <v>0.83480699999999997</v>
      </c>
      <c r="G3" s="1">
        <v>40065</v>
      </c>
      <c r="H3" s="1">
        <v>43377</v>
      </c>
      <c r="I3">
        <v>8.5890410960000008</v>
      </c>
      <c r="J3">
        <v>0.375</v>
      </c>
      <c r="K3">
        <v>2.1436697000000001E-2</v>
      </c>
      <c r="L3">
        <v>2.3744700000000001E-4</v>
      </c>
      <c r="M3">
        <f t="shared" ref="M3:M66" si="0">+J3-K3</f>
        <v>0.353563303</v>
      </c>
      <c r="N3">
        <v>-0.21</v>
      </c>
      <c r="O3">
        <v>-2.46</v>
      </c>
      <c r="P3">
        <v>-9.7000000000000003E-2</v>
      </c>
      <c r="Q3">
        <v>0.1</v>
      </c>
      <c r="R3">
        <v>-0.1</v>
      </c>
      <c r="S3">
        <v>0</v>
      </c>
      <c r="T3">
        <v>0.2</v>
      </c>
      <c r="U3">
        <v>0.63912581999999996</v>
      </c>
      <c r="V3">
        <v>-2.6956291000000001</v>
      </c>
      <c r="W3">
        <v>22.399523569999999</v>
      </c>
      <c r="X3">
        <v>31.513058430000001</v>
      </c>
      <c r="Y3">
        <v>32.399523569999999</v>
      </c>
      <c r="Z3">
        <v>-2.4814366969999999</v>
      </c>
      <c r="AA3">
        <v>4.5</v>
      </c>
      <c r="AB3">
        <v>0.11</v>
      </c>
      <c r="AC3">
        <v>21.45</v>
      </c>
      <c r="AD3">
        <v>805</v>
      </c>
      <c r="AE3">
        <v>5.9886109029999997</v>
      </c>
      <c r="AF3">
        <v>2.87363992</v>
      </c>
      <c r="AG3" t="s">
        <v>47</v>
      </c>
      <c r="AH3">
        <v>0</v>
      </c>
      <c r="AI3">
        <v>0</v>
      </c>
      <c r="AJ3">
        <v>1</v>
      </c>
      <c r="AK3">
        <v>0</v>
      </c>
      <c r="AL3" t="s">
        <v>48</v>
      </c>
      <c r="AM3" t="s">
        <v>49</v>
      </c>
      <c r="AN3">
        <v>-9.6699999999999994E-2</v>
      </c>
      <c r="AO3">
        <v>0.97</v>
      </c>
      <c r="AP3">
        <v>21.8125</v>
      </c>
      <c r="AQ3">
        <v>0.11</v>
      </c>
      <c r="AR3">
        <v>1000</v>
      </c>
      <c r="AS3">
        <v>225.56876940000001</v>
      </c>
    </row>
    <row r="4" spans="1:45" x14ac:dyDescent="0.2">
      <c r="A4" t="s">
        <v>51</v>
      </c>
      <c r="B4" t="s">
        <v>44</v>
      </c>
      <c r="C4" t="s">
        <v>45</v>
      </c>
      <c r="D4" t="s">
        <v>52</v>
      </c>
      <c r="E4">
        <v>40.638244999999998</v>
      </c>
      <c r="F4">
        <v>0.74266299999999996</v>
      </c>
      <c r="G4" t="s">
        <v>55</v>
      </c>
      <c r="H4" t="s">
        <v>56</v>
      </c>
      <c r="I4">
        <v>8.5698630139999992</v>
      </c>
      <c r="J4">
        <v>1.875</v>
      </c>
      <c r="K4">
        <v>2.3209442810000001</v>
      </c>
      <c r="L4">
        <v>0.79147823900000003</v>
      </c>
      <c r="M4">
        <f t="shared" si="0"/>
        <v>-0.44594428100000005</v>
      </c>
      <c r="N4">
        <v>-0.21</v>
      </c>
      <c r="O4">
        <v>-2.46</v>
      </c>
      <c r="P4">
        <v>-9.7000000000000003E-2</v>
      </c>
      <c r="Q4">
        <v>0.1</v>
      </c>
      <c r="R4">
        <v>-0.1</v>
      </c>
      <c r="S4">
        <v>0</v>
      </c>
      <c r="T4">
        <v>0.2</v>
      </c>
      <c r="U4">
        <v>0.36368388000000001</v>
      </c>
      <c r="V4">
        <v>-1.3184194</v>
      </c>
      <c r="W4">
        <v>22.399523569999999</v>
      </c>
      <c r="X4">
        <v>3.9688644310000001</v>
      </c>
      <c r="Y4">
        <v>32.399523569999999</v>
      </c>
      <c r="Z4">
        <v>-4.780944281</v>
      </c>
      <c r="AA4">
        <v>22.5</v>
      </c>
      <c r="AB4">
        <v>0.36499999999999999</v>
      </c>
      <c r="AC4">
        <v>21.45</v>
      </c>
      <c r="AD4">
        <v>805</v>
      </c>
      <c r="AE4">
        <v>4.4025449749999996</v>
      </c>
      <c r="AF4">
        <v>1.8209689680000001</v>
      </c>
      <c r="AG4" t="s">
        <v>53</v>
      </c>
      <c r="AH4">
        <v>0</v>
      </c>
      <c r="AI4">
        <v>1</v>
      </c>
      <c r="AJ4">
        <v>0</v>
      </c>
      <c r="AK4">
        <v>0</v>
      </c>
      <c r="AL4" t="s">
        <v>54</v>
      </c>
      <c r="AM4" t="s">
        <v>49</v>
      </c>
      <c r="AN4">
        <v>-6.3600000000000004E-2</v>
      </c>
      <c r="AO4">
        <v>0.38</v>
      </c>
      <c r="AP4">
        <v>10.965</v>
      </c>
      <c r="AQ4">
        <v>0.28000000000000003</v>
      </c>
      <c r="AR4">
        <v>1000</v>
      </c>
      <c r="AS4">
        <v>172.40566039999999</v>
      </c>
    </row>
    <row r="5" spans="1:45" x14ac:dyDescent="0.2">
      <c r="A5" t="s">
        <v>57</v>
      </c>
      <c r="B5" t="s">
        <v>44</v>
      </c>
      <c r="C5" t="s">
        <v>45</v>
      </c>
      <c r="D5" t="s">
        <v>52</v>
      </c>
      <c r="E5">
        <v>40.638489</v>
      </c>
      <c r="F5">
        <v>0.74224100000000004</v>
      </c>
      <c r="G5" t="s">
        <v>55</v>
      </c>
      <c r="H5" t="s">
        <v>56</v>
      </c>
      <c r="I5">
        <v>8.5698630139999992</v>
      </c>
      <c r="J5">
        <v>1.6875</v>
      </c>
      <c r="K5">
        <v>3.089736501</v>
      </c>
      <c r="L5">
        <v>0.62651295799999995</v>
      </c>
      <c r="M5">
        <f t="shared" si="0"/>
        <v>-1.402236501</v>
      </c>
      <c r="N5">
        <v>-0.21</v>
      </c>
      <c r="O5">
        <v>-2.46</v>
      </c>
      <c r="P5">
        <v>-9.7000000000000003E-2</v>
      </c>
      <c r="Q5">
        <v>0.1</v>
      </c>
      <c r="R5">
        <v>-0.1</v>
      </c>
      <c r="S5">
        <v>0</v>
      </c>
      <c r="T5">
        <v>0.2</v>
      </c>
      <c r="U5">
        <v>0.39628202000000001</v>
      </c>
      <c r="V5">
        <v>-1.4814101</v>
      </c>
      <c r="W5">
        <v>22.399523569999999</v>
      </c>
      <c r="X5">
        <v>7.2286784309999996</v>
      </c>
      <c r="Y5">
        <v>32.399523569999999</v>
      </c>
      <c r="Z5">
        <v>-5.5497365009999999</v>
      </c>
      <c r="AA5">
        <v>22.5</v>
      </c>
      <c r="AB5">
        <v>0.36499999999999999</v>
      </c>
      <c r="AC5">
        <v>21.45</v>
      </c>
      <c r="AD5">
        <v>805</v>
      </c>
      <c r="AE5">
        <v>4.4025449749999996</v>
      </c>
      <c r="AF5">
        <v>1.8209689680000001</v>
      </c>
      <c r="AG5" t="s">
        <v>53</v>
      </c>
      <c r="AH5">
        <v>0</v>
      </c>
      <c r="AI5">
        <v>1</v>
      </c>
      <c r="AJ5">
        <v>0</v>
      </c>
      <c r="AK5">
        <v>0</v>
      </c>
      <c r="AL5" t="s">
        <v>54</v>
      </c>
      <c r="AM5" t="s">
        <v>49</v>
      </c>
      <c r="AN5">
        <v>-6.1199999999999997E-2</v>
      </c>
      <c r="AO5">
        <v>0.26</v>
      </c>
      <c r="AP5">
        <v>22.032499999999999</v>
      </c>
      <c r="AQ5">
        <v>0.28000000000000003</v>
      </c>
      <c r="AR5">
        <v>1000</v>
      </c>
      <c r="AS5">
        <v>360.00816989999998</v>
      </c>
    </row>
    <row r="6" spans="1:45" x14ac:dyDescent="0.2">
      <c r="A6" t="s">
        <v>58</v>
      </c>
      <c r="B6" t="s">
        <v>44</v>
      </c>
      <c r="C6" t="s">
        <v>45</v>
      </c>
      <c r="D6" t="s">
        <v>59</v>
      </c>
      <c r="E6">
        <v>40.693688999999999</v>
      </c>
      <c r="F6">
        <v>0.859622</v>
      </c>
      <c r="G6" s="1">
        <v>39881</v>
      </c>
      <c r="H6" t="s">
        <v>60</v>
      </c>
      <c r="I6">
        <v>8.5342465749999992</v>
      </c>
      <c r="J6">
        <v>1.375</v>
      </c>
      <c r="K6">
        <v>1.2042696820000001</v>
      </c>
      <c r="L6">
        <v>0.83240150000000002</v>
      </c>
      <c r="M6">
        <f t="shared" si="0"/>
        <v>0.17073031799999994</v>
      </c>
      <c r="N6">
        <v>-0.21</v>
      </c>
      <c r="O6">
        <v>-2.67</v>
      </c>
      <c r="P6">
        <v>-9.7000000000000003E-2</v>
      </c>
      <c r="Q6">
        <v>0.1</v>
      </c>
      <c r="R6">
        <v>-0.1</v>
      </c>
      <c r="S6">
        <v>0</v>
      </c>
      <c r="T6">
        <v>0.2</v>
      </c>
      <c r="U6">
        <v>0.5149011</v>
      </c>
      <c r="V6">
        <v>-2.0745054999999999</v>
      </c>
      <c r="W6">
        <v>22.399523569999999</v>
      </c>
      <c r="X6">
        <v>19.090586429999998</v>
      </c>
      <c r="Y6">
        <v>32.399523569999999</v>
      </c>
      <c r="Z6">
        <v>-3.874269682</v>
      </c>
      <c r="AA6">
        <v>5</v>
      </c>
      <c r="AB6">
        <v>1.17</v>
      </c>
      <c r="AC6">
        <v>21.45</v>
      </c>
      <c r="AD6">
        <v>805</v>
      </c>
      <c r="AE6">
        <v>5.9886109029999997</v>
      </c>
      <c r="AF6">
        <v>2.87363992</v>
      </c>
      <c r="AG6" t="s">
        <v>53</v>
      </c>
      <c r="AH6">
        <v>0</v>
      </c>
      <c r="AI6">
        <v>1</v>
      </c>
      <c r="AJ6">
        <v>0</v>
      </c>
      <c r="AK6">
        <v>0</v>
      </c>
      <c r="AL6" t="s">
        <v>54</v>
      </c>
      <c r="AM6" t="s">
        <v>49</v>
      </c>
      <c r="AN6">
        <v>-2.5899999999999999E-2</v>
      </c>
      <c r="AO6">
        <v>0.13</v>
      </c>
      <c r="AP6">
        <v>17.149999999999999</v>
      </c>
      <c r="AQ6">
        <v>0.64</v>
      </c>
      <c r="AR6">
        <v>1000</v>
      </c>
      <c r="AS6">
        <v>662.16216220000001</v>
      </c>
    </row>
    <row r="7" spans="1:45" x14ac:dyDescent="0.2">
      <c r="A7" t="s">
        <v>61</v>
      </c>
      <c r="B7" t="s">
        <v>44</v>
      </c>
      <c r="C7" t="s">
        <v>45</v>
      </c>
      <c r="D7" t="s">
        <v>59</v>
      </c>
      <c r="E7">
        <v>40.694116000000001</v>
      </c>
      <c r="F7">
        <v>0.85932500000000001</v>
      </c>
      <c r="G7" s="1">
        <v>39881</v>
      </c>
      <c r="H7" t="s">
        <v>60</v>
      </c>
      <c r="I7">
        <v>8.5342465749999992</v>
      </c>
      <c r="J7">
        <v>3.0625</v>
      </c>
      <c r="K7">
        <v>0.69981961699999995</v>
      </c>
      <c r="L7">
        <v>0.108009182</v>
      </c>
      <c r="M7">
        <f t="shared" si="0"/>
        <v>2.3626803829999998</v>
      </c>
      <c r="N7">
        <v>-0.21</v>
      </c>
      <c r="O7">
        <v>-2.67</v>
      </c>
      <c r="P7">
        <v>-9.7000000000000003E-2</v>
      </c>
      <c r="Q7">
        <v>0.1</v>
      </c>
      <c r="R7">
        <v>-0.1</v>
      </c>
      <c r="S7">
        <v>0</v>
      </c>
      <c r="T7">
        <v>0.2</v>
      </c>
      <c r="U7">
        <v>0.40814117</v>
      </c>
      <c r="V7">
        <v>-1.5407058499999999</v>
      </c>
      <c r="W7">
        <v>22.399523569999999</v>
      </c>
      <c r="X7">
        <v>8.4145934310000001</v>
      </c>
      <c r="Y7">
        <v>32.399523569999999</v>
      </c>
      <c r="Z7">
        <v>-3.3698196170000001</v>
      </c>
      <c r="AA7">
        <v>5</v>
      </c>
      <c r="AB7">
        <v>1.17</v>
      </c>
      <c r="AC7">
        <v>21.45</v>
      </c>
      <c r="AD7">
        <v>805</v>
      </c>
      <c r="AE7">
        <v>5.9886109029999997</v>
      </c>
      <c r="AF7">
        <v>2.87363992</v>
      </c>
      <c r="AG7" t="s">
        <v>53</v>
      </c>
      <c r="AH7">
        <v>0</v>
      </c>
      <c r="AI7">
        <v>1</v>
      </c>
      <c r="AJ7">
        <v>0</v>
      </c>
      <c r="AK7">
        <v>0</v>
      </c>
      <c r="AL7" t="s">
        <v>54</v>
      </c>
      <c r="AM7" t="s">
        <v>49</v>
      </c>
      <c r="AN7">
        <v>-3.5099999999999999E-2</v>
      </c>
      <c r="AO7">
        <v>0.24</v>
      </c>
      <c r="AP7">
        <v>97.097499999999997</v>
      </c>
      <c r="AQ7">
        <v>0.64</v>
      </c>
      <c r="AR7">
        <v>1000</v>
      </c>
      <c r="AS7">
        <v>2766.3105409999998</v>
      </c>
    </row>
    <row r="8" spans="1:45" x14ac:dyDescent="0.2">
      <c r="A8" t="s">
        <v>62</v>
      </c>
      <c r="B8" t="s">
        <v>44</v>
      </c>
      <c r="C8" t="s">
        <v>45</v>
      </c>
      <c r="D8" t="s">
        <v>63</v>
      </c>
      <c r="E8">
        <v>40.649515000000001</v>
      </c>
      <c r="F8">
        <v>0.69080299999999994</v>
      </c>
      <c r="G8" t="s">
        <v>65</v>
      </c>
      <c r="H8" t="s">
        <v>66</v>
      </c>
      <c r="I8">
        <v>8.5917808220000005</v>
      </c>
      <c r="J8">
        <v>1.3125</v>
      </c>
      <c r="K8">
        <v>-0.28251822500000001</v>
      </c>
      <c r="L8">
        <v>3.0068909999999998E-3</v>
      </c>
      <c r="M8">
        <f t="shared" si="0"/>
        <v>1.595018225</v>
      </c>
      <c r="N8">
        <v>-0.21</v>
      </c>
      <c r="O8">
        <v>-2.46</v>
      </c>
      <c r="P8">
        <v>-9.7000000000000003E-2</v>
      </c>
      <c r="Q8">
        <v>0.1</v>
      </c>
      <c r="R8">
        <v>-0.1</v>
      </c>
      <c r="S8">
        <v>0</v>
      </c>
      <c r="T8">
        <v>0.2</v>
      </c>
      <c r="U8">
        <v>0.32294801000000001</v>
      </c>
      <c r="V8">
        <v>-1.11474005</v>
      </c>
      <c r="W8">
        <v>22.399523569999999</v>
      </c>
      <c r="X8">
        <v>-0.104722569</v>
      </c>
      <c r="Y8">
        <v>32.399523569999999</v>
      </c>
      <c r="Z8">
        <v>-2.177481775</v>
      </c>
      <c r="AA8">
        <v>15.5</v>
      </c>
      <c r="AB8">
        <v>0.33</v>
      </c>
      <c r="AC8">
        <v>21.45</v>
      </c>
      <c r="AD8">
        <v>805</v>
      </c>
      <c r="AE8">
        <v>3.7972661259999998</v>
      </c>
      <c r="AF8">
        <v>1.828537659</v>
      </c>
      <c r="AG8" t="s">
        <v>64</v>
      </c>
      <c r="AH8">
        <v>0</v>
      </c>
      <c r="AI8">
        <v>0</v>
      </c>
      <c r="AJ8">
        <v>1</v>
      </c>
      <c r="AK8">
        <v>0</v>
      </c>
      <c r="AL8" t="s">
        <v>48</v>
      </c>
      <c r="AM8" t="s">
        <v>49</v>
      </c>
      <c r="AN8">
        <v>0.14610000000000001</v>
      </c>
      <c r="AO8">
        <v>0.76</v>
      </c>
      <c r="AP8">
        <v>91.167500000000004</v>
      </c>
      <c r="AQ8">
        <v>0.14000000000000001</v>
      </c>
      <c r="AR8">
        <v>0</v>
      </c>
      <c r="AS8">
        <v>1000</v>
      </c>
    </row>
    <row r="9" spans="1:45" x14ac:dyDescent="0.2">
      <c r="A9" t="s">
        <v>67</v>
      </c>
      <c r="B9" t="s">
        <v>44</v>
      </c>
      <c r="C9" t="s">
        <v>45</v>
      </c>
      <c r="D9" t="s">
        <v>63</v>
      </c>
      <c r="E9">
        <v>40.649824000000002</v>
      </c>
      <c r="F9">
        <v>0.690473</v>
      </c>
      <c r="G9" t="s">
        <v>65</v>
      </c>
      <c r="H9" t="s">
        <v>66</v>
      </c>
      <c r="I9">
        <v>8.5917808220000005</v>
      </c>
      <c r="J9" t="s">
        <v>68</v>
      </c>
      <c r="K9">
        <v>-0.157389682</v>
      </c>
      <c r="L9">
        <v>6.9874990000000003E-3</v>
      </c>
      <c r="M9" t="s">
        <v>68</v>
      </c>
      <c r="N9">
        <v>-0.21</v>
      </c>
      <c r="O9">
        <v>-2.46</v>
      </c>
      <c r="P9">
        <v>-9.7000000000000003E-2</v>
      </c>
      <c r="Q9">
        <v>0.1</v>
      </c>
      <c r="R9">
        <v>-0.1</v>
      </c>
      <c r="S9">
        <v>0</v>
      </c>
      <c r="T9">
        <v>0.2</v>
      </c>
      <c r="U9">
        <v>0.3287679</v>
      </c>
      <c r="V9">
        <v>-1.1438394999999999</v>
      </c>
      <c r="W9">
        <v>22.399523569999999</v>
      </c>
      <c r="X9">
        <v>0.47726643099999999</v>
      </c>
      <c r="Y9">
        <v>32.399523569999999</v>
      </c>
      <c r="Z9">
        <v>-2.3026103180000002</v>
      </c>
      <c r="AA9">
        <v>15.5</v>
      </c>
      <c r="AB9">
        <v>0.33</v>
      </c>
      <c r="AC9">
        <v>21.45</v>
      </c>
      <c r="AD9">
        <v>805</v>
      </c>
      <c r="AE9">
        <v>3.7972661259999998</v>
      </c>
      <c r="AF9">
        <v>1.828537659</v>
      </c>
      <c r="AG9" t="s">
        <v>64</v>
      </c>
      <c r="AH9">
        <v>0</v>
      </c>
      <c r="AI9">
        <v>0</v>
      </c>
      <c r="AJ9">
        <v>1</v>
      </c>
      <c r="AK9">
        <v>0</v>
      </c>
      <c r="AL9" t="s">
        <v>48</v>
      </c>
      <c r="AM9" t="s">
        <v>49</v>
      </c>
      <c r="AN9">
        <v>-2.7900000000000001E-2</v>
      </c>
      <c r="AO9">
        <v>0.05</v>
      </c>
      <c r="AP9">
        <v>85.53</v>
      </c>
      <c r="AQ9">
        <v>0.14000000000000001</v>
      </c>
      <c r="AR9">
        <v>1000</v>
      </c>
      <c r="AS9">
        <v>3065.591398</v>
      </c>
    </row>
    <row r="10" spans="1:45" x14ac:dyDescent="0.2">
      <c r="A10" t="s">
        <v>69</v>
      </c>
      <c r="B10" t="s">
        <v>44</v>
      </c>
      <c r="C10" t="s">
        <v>45</v>
      </c>
      <c r="D10" t="s">
        <v>70</v>
      </c>
      <c r="E10">
        <v>40.653193000000002</v>
      </c>
      <c r="F10">
        <v>0.68554300000000001</v>
      </c>
      <c r="G10" t="s">
        <v>71</v>
      </c>
      <c r="H10" t="s">
        <v>56</v>
      </c>
      <c r="I10">
        <v>8.5643835619999997</v>
      </c>
      <c r="J10">
        <v>1.125</v>
      </c>
      <c r="K10">
        <v>3.6365132139999998</v>
      </c>
      <c r="L10">
        <v>0.42001103099999998</v>
      </c>
      <c r="M10">
        <f t="shared" si="0"/>
        <v>-2.5115132139999998</v>
      </c>
      <c r="N10">
        <v>-0.21</v>
      </c>
      <c r="O10">
        <v>-2.46</v>
      </c>
      <c r="P10">
        <v>-9.7000000000000003E-2</v>
      </c>
      <c r="Q10">
        <v>0.1</v>
      </c>
      <c r="R10">
        <v>-0.1</v>
      </c>
      <c r="S10">
        <v>0</v>
      </c>
      <c r="T10">
        <v>0.2</v>
      </c>
      <c r="U10">
        <v>0.31777539999999999</v>
      </c>
      <c r="V10">
        <v>-1.0888770000000001</v>
      </c>
      <c r="W10">
        <v>22.399523569999999</v>
      </c>
      <c r="X10">
        <v>-0.62198356899999996</v>
      </c>
      <c r="Y10">
        <v>32.399523569999999</v>
      </c>
      <c r="Z10">
        <v>-6.0965132139999998</v>
      </c>
      <c r="AA10">
        <v>13.4</v>
      </c>
      <c r="AB10">
        <v>0.06</v>
      </c>
      <c r="AC10">
        <v>21.45</v>
      </c>
      <c r="AD10">
        <v>805</v>
      </c>
      <c r="AE10">
        <v>3.7972661259999998</v>
      </c>
      <c r="AF10">
        <v>1.828537659</v>
      </c>
      <c r="AG10" t="s">
        <v>53</v>
      </c>
      <c r="AH10">
        <v>0</v>
      </c>
      <c r="AI10">
        <v>1</v>
      </c>
      <c r="AJ10">
        <v>0</v>
      </c>
      <c r="AK10">
        <v>0</v>
      </c>
      <c r="AL10" t="s">
        <v>54</v>
      </c>
      <c r="AM10" t="s">
        <v>49</v>
      </c>
      <c r="AN10">
        <v>-0.1555</v>
      </c>
      <c r="AO10">
        <v>0.48</v>
      </c>
      <c r="AP10">
        <v>15.9475</v>
      </c>
      <c r="AQ10">
        <v>0.37</v>
      </c>
      <c r="AR10">
        <v>2</v>
      </c>
      <c r="AS10">
        <v>102.55627010000001</v>
      </c>
    </row>
    <row r="11" spans="1:45" x14ac:dyDescent="0.2">
      <c r="A11" t="s">
        <v>72</v>
      </c>
      <c r="B11" t="s">
        <v>44</v>
      </c>
      <c r="C11" t="s">
        <v>45</v>
      </c>
      <c r="D11" t="s">
        <v>70</v>
      </c>
      <c r="E11">
        <v>40.653205</v>
      </c>
      <c r="F11">
        <v>0.68525899999999995</v>
      </c>
      <c r="G11" t="s">
        <v>71</v>
      </c>
      <c r="H11" t="s">
        <v>56</v>
      </c>
      <c r="I11">
        <v>8.5643835619999997</v>
      </c>
      <c r="J11">
        <v>5.4375</v>
      </c>
      <c r="K11">
        <v>-5.2852556650000002</v>
      </c>
      <c r="L11">
        <v>0.88292155299999997</v>
      </c>
      <c r="M11">
        <f t="shared" si="0"/>
        <v>10.722755665000001</v>
      </c>
      <c r="N11">
        <v>-0.21</v>
      </c>
      <c r="O11">
        <v>-2.46</v>
      </c>
      <c r="P11">
        <v>-9.7000000000000003E-2</v>
      </c>
      <c r="Q11">
        <v>0.1</v>
      </c>
      <c r="R11">
        <v>-0.1</v>
      </c>
      <c r="S11">
        <v>0</v>
      </c>
      <c r="T11">
        <v>0.2</v>
      </c>
      <c r="U11">
        <v>0.34451205000000001</v>
      </c>
      <c r="V11">
        <v>-1.2225602499999999</v>
      </c>
      <c r="W11">
        <v>22.399523569999999</v>
      </c>
      <c r="X11">
        <v>2.051681431</v>
      </c>
      <c r="Y11">
        <v>32.399523569999999</v>
      </c>
      <c r="Z11">
        <v>2.8252556649999998</v>
      </c>
      <c r="AA11">
        <v>13.4</v>
      </c>
      <c r="AB11">
        <v>0.06</v>
      </c>
      <c r="AC11">
        <v>21.45</v>
      </c>
      <c r="AD11">
        <v>805</v>
      </c>
      <c r="AE11">
        <v>3.7972661259999998</v>
      </c>
      <c r="AF11">
        <v>1.828537659</v>
      </c>
      <c r="AG11" t="s">
        <v>64</v>
      </c>
      <c r="AH11">
        <v>0</v>
      </c>
      <c r="AI11">
        <v>0</v>
      </c>
      <c r="AJ11">
        <v>1</v>
      </c>
      <c r="AK11">
        <v>0</v>
      </c>
      <c r="AL11" t="s">
        <v>48</v>
      </c>
      <c r="AM11" t="s">
        <v>49</v>
      </c>
      <c r="AN11">
        <v>-9.35E-2</v>
      </c>
      <c r="AO11">
        <v>0.8</v>
      </c>
      <c r="AP11">
        <v>1.7050000000000001</v>
      </c>
      <c r="AQ11">
        <v>0.37</v>
      </c>
      <c r="AR11">
        <v>4</v>
      </c>
      <c r="AS11">
        <v>18.235294119999999</v>
      </c>
    </row>
    <row r="12" spans="1:45" x14ac:dyDescent="0.2">
      <c r="A12" t="s">
        <v>73</v>
      </c>
      <c r="B12" t="s">
        <v>44</v>
      </c>
      <c r="C12" t="s">
        <v>45</v>
      </c>
      <c r="D12" t="s">
        <v>74</v>
      </c>
      <c r="E12">
        <v>40.635123999999998</v>
      </c>
      <c r="F12">
        <v>0.645459</v>
      </c>
      <c r="G12" t="s">
        <v>71</v>
      </c>
      <c r="H12" s="1">
        <v>43437</v>
      </c>
      <c r="I12">
        <v>8.5452054789999998</v>
      </c>
      <c r="J12">
        <v>2.3125</v>
      </c>
      <c r="K12">
        <v>1.2765174500000001</v>
      </c>
      <c r="L12">
        <v>0.141533671</v>
      </c>
      <c r="M12">
        <f t="shared" si="0"/>
        <v>1.0359825499999999</v>
      </c>
      <c r="N12">
        <v>-0.21</v>
      </c>
      <c r="O12">
        <v>-2.46</v>
      </c>
      <c r="P12">
        <v>-9.7000000000000003E-2</v>
      </c>
      <c r="Q12">
        <v>0.1</v>
      </c>
      <c r="R12">
        <v>-0.1</v>
      </c>
      <c r="S12">
        <v>0</v>
      </c>
      <c r="T12">
        <v>0.2</v>
      </c>
      <c r="U12">
        <v>0.45603132000000002</v>
      </c>
      <c r="V12">
        <v>-1.7801566</v>
      </c>
      <c r="W12">
        <v>22.399523569999999</v>
      </c>
      <c r="X12">
        <v>13.203608429999999</v>
      </c>
      <c r="Y12">
        <v>32.399523569999999</v>
      </c>
      <c r="Z12">
        <v>-3.73651745</v>
      </c>
      <c r="AA12">
        <v>35.9</v>
      </c>
      <c r="AB12">
        <v>0.13</v>
      </c>
      <c r="AC12">
        <v>21.45</v>
      </c>
      <c r="AD12">
        <v>805</v>
      </c>
      <c r="AE12">
        <v>2.7142538730000001</v>
      </c>
      <c r="AF12">
        <v>1.6922390899999999</v>
      </c>
      <c r="AG12" t="s">
        <v>64</v>
      </c>
      <c r="AH12">
        <v>0</v>
      </c>
      <c r="AI12">
        <v>0</v>
      </c>
      <c r="AJ12">
        <v>1</v>
      </c>
      <c r="AK12">
        <v>0</v>
      </c>
      <c r="AL12" t="s">
        <v>48</v>
      </c>
      <c r="AM12" t="s">
        <v>49</v>
      </c>
      <c r="AN12">
        <v>4.8999999999999998E-3</v>
      </c>
      <c r="AO12">
        <v>1.2E-2</v>
      </c>
      <c r="AP12">
        <v>23.33</v>
      </c>
      <c r="AQ12">
        <v>0.25</v>
      </c>
      <c r="AR12">
        <v>1000</v>
      </c>
      <c r="AS12">
        <v>1000</v>
      </c>
    </row>
    <row r="13" spans="1:45" x14ac:dyDescent="0.2">
      <c r="A13" t="s">
        <v>75</v>
      </c>
      <c r="B13" t="s">
        <v>44</v>
      </c>
      <c r="C13" t="s">
        <v>45</v>
      </c>
      <c r="D13" t="s">
        <v>74</v>
      </c>
      <c r="E13">
        <v>40.635218999999999</v>
      </c>
      <c r="F13">
        <v>0.64570399999999994</v>
      </c>
      <c r="G13" t="s">
        <v>71</v>
      </c>
      <c r="H13" s="1">
        <v>43437</v>
      </c>
      <c r="I13">
        <v>8.5452054789999998</v>
      </c>
      <c r="J13">
        <v>4.6875</v>
      </c>
      <c r="K13">
        <v>7.0967630010000002</v>
      </c>
      <c r="L13">
        <v>0.91910639599999999</v>
      </c>
      <c r="M13">
        <f t="shared" si="0"/>
        <v>-2.4092630010000002</v>
      </c>
      <c r="N13">
        <v>-0.21</v>
      </c>
      <c r="O13">
        <v>-2.46</v>
      </c>
      <c r="P13">
        <v>-9.7000000000000003E-2</v>
      </c>
      <c r="Q13">
        <v>0.1</v>
      </c>
      <c r="R13">
        <v>-0.1</v>
      </c>
      <c r="S13">
        <v>0</v>
      </c>
      <c r="T13">
        <v>0.2</v>
      </c>
      <c r="U13">
        <v>0.43379286</v>
      </c>
      <c r="V13">
        <v>-1.6689643000000001</v>
      </c>
      <c r="W13">
        <v>22.399523569999999</v>
      </c>
      <c r="X13">
        <v>10.979762429999999</v>
      </c>
      <c r="Y13">
        <v>32.399523569999999</v>
      </c>
      <c r="Z13">
        <v>-9.5567630010000002</v>
      </c>
      <c r="AA13">
        <v>35.9</v>
      </c>
      <c r="AB13">
        <v>0.13</v>
      </c>
      <c r="AC13">
        <v>21.45</v>
      </c>
      <c r="AD13">
        <v>805</v>
      </c>
      <c r="AE13">
        <v>2.7142538730000001</v>
      </c>
      <c r="AF13">
        <v>1.6922390899999999</v>
      </c>
      <c r="AG13" t="s">
        <v>64</v>
      </c>
      <c r="AH13">
        <v>0</v>
      </c>
      <c r="AI13">
        <v>0</v>
      </c>
      <c r="AJ13">
        <v>1</v>
      </c>
      <c r="AK13">
        <v>0</v>
      </c>
      <c r="AL13" t="s">
        <v>48</v>
      </c>
      <c r="AM13" t="s">
        <v>49</v>
      </c>
      <c r="AN13">
        <v>-1.6500000000000001E-2</v>
      </c>
      <c r="AO13">
        <v>0.09</v>
      </c>
      <c r="AP13">
        <v>6.36</v>
      </c>
      <c r="AQ13">
        <v>0.25</v>
      </c>
      <c r="AR13">
        <v>1000</v>
      </c>
      <c r="AS13">
        <v>385.45454549999999</v>
      </c>
    </row>
    <row r="14" spans="1:45" x14ac:dyDescent="0.2">
      <c r="A14" t="s">
        <v>76</v>
      </c>
      <c r="B14" t="s">
        <v>44</v>
      </c>
      <c r="C14" t="s">
        <v>45</v>
      </c>
      <c r="D14" t="s">
        <v>77</v>
      </c>
      <c r="E14">
        <v>40.763627999999997</v>
      </c>
      <c r="F14">
        <v>0.75458499999999995</v>
      </c>
      <c r="G14" s="1">
        <v>39853</v>
      </c>
      <c r="H14" t="s">
        <v>78</v>
      </c>
      <c r="I14">
        <v>8.5698630139999992</v>
      </c>
      <c r="J14">
        <v>0.625</v>
      </c>
      <c r="K14">
        <v>2.1398316140000002</v>
      </c>
      <c r="L14">
        <v>0.45268762800000001</v>
      </c>
      <c r="M14">
        <f t="shared" si="0"/>
        <v>-1.5148316140000002</v>
      </c>
      <c r="N14">
        <v>-0.21</v>
      </c>
      <c r="O14">
        <v>-2.67</v>
      </c>
      <c r="P14">
        <v>-9.7000000000000003E-2</v>
      </c>
      <c r="Q14">
        <v>0.1</v>
      </c>
      <c r="R14">
        <v>-0.1</v>
      </c>
      <c r="S14">
        <v>0</v>
      </c>
      <c r="T14">
        <v>0.2</v>
      </c>
      <c r="U14">
        <v>0.68947124000000004</v>
      </c>
      <c r="V14">
        <v>-2.9473562000000002</v>
      </c>
      <c r="W14">
        <v>22.399523569999999</v>
      </c>
      <c r="X14">
        <v>36.547600430000003</v>
      </c>
      <c r="Y14">
        <v>32.399523569999999</v>
      </c>
      <c r="Z14">
        <v>-4.8098316140000001</v>
      </c>
      <c r="AA14">
        <v>22.5</v>
      </c>
      <c r="AB14">
        <v>0.28499999999999998</v>
      </c>
      <c r="AC14">
        <v>21.45</v>
      </c>
      <c r="AD14">
        <v>805</v>
      </c>
      <c r="AE14">
        <v>3.9705169200000001</v>
      </c>
      <c r="AF14">
        <v>1.4777844659999999</v>
      </c>
      <c r="AG14" t="s">
        <v>53</v>
      </c>
      <c r="AH14">
        <v>0</v>
      </c>
      <c r="AI14">
        <v>1</v>
      </c>
      <c r="AJ14">
        <v>0</v>
      </c>
      <c r="AK14">
        <v>0</v>
      </c>
      <c r="AL14" t="s">
        <v>54</v>
      </c>
      <c r="AM14" t="s">
        <v>49</v>
      </c>
      <c r="AN14">
        <v>5.8400000000000001E-2</v>
      </c>
      <c r="AO14">
        <v>0.1</v>
      </c>
      <c r="AP14">
        <v>24.655000000000001</v>
      </c>
      <c r="AQ14">
        <v>0.56000000000000005</v>
      </c>
      <c r="AR14">
        <v>1000</v>
      </c>
      <c r="AS14">
        <v>1000</v>
      </c>
    </row>
    <row r="15" spans="1:45" x14ac:dyDescent="0.2">
      <c r="A15" t="s">
        <v>79</v>
      </c>
      <c r="B15" t="s">
        <v>44</v>
      </c>
      <c r="C15" t="s">
        <v>45</v>
      </c>
      <c r="D15" t="s">
        <v>77</v>
      </c>
      <c r="E15">
        <v>40.721989999999998</v>
      </c>
      <c r="F15">
        <v>0.85907100000000003</v>
      </c>
      <c r="G15" s="1">
        <v>39853</v>
      </c>
      <c r="H15" t="s">
        <v>78</v>
      </c>
      <c r="I15">
        <v>8.5698630139999992</v>
      </c>
      <c r="J15">
        <v>8</v>
      </c>
      <c r="K15">
        <v>2.7433852929999998</v>
      </c>
      <c r="L15">
        <v>0.81076855199999998</v>
      </c>
      <c r="M15">
        <f t="shared" si="0"/>
        <v>5.2566147070000007</v>
      </c>
      <c r="N15">
        <v>-0.21</v>
      </c>
      <c r="O15">
        <v>-2.67</v>
      </c>
      <c r="P15">
        <v>-9.7000000000000003E-2</v>
      </c>
      <c r="Q15">
        <v>0.1</v>
      </c>
      <c r="R15">
        <v>-0.1</v>
      </c>
      <c r="S15">
        <v>0</v>
      </c>
      <c r="T15">
        <v>0.2</v>
      </c>
      <c r="U15">
        <v>0.45118174</v>
      </c>
      <c r="V15">
        <v>-1.7559087</v>
      </c>
      <c r="W15">
        <v>22.399523569999999</v>
      </c>
      <c r="X15">
        <v>12.71865043</v>
      </c>
      <c r="Y15">
        <v>32.399523569999999</v>
      </c>
      <c r="Z15">
        <v>-5.4133852930000002</v>
      </c>
      <c r="AA15">
        <v>22.5</v>
      </c>
      <c r="AB15">
        <v>0.28499999999999998</v>
      </c>
      <c r="AC15">
        <v>21.45</v>
      </c>
      <c r="AD15">
        <v>805</v>
      </c>
      <c r="AE15">
        <v>3.9705169200000001</v>
      </c>
      <c r="AF15">
        <v>1.4777844659999999</v>
      </c>
      <c r="AG15" t="s">
        <v>53</v>
      </c>
      <c r="AH15">
        <v>0</v>
      </c>
      <c r="AI15">
        <v>1</v>
      </c>
      <c r="AJ15">
        <v>0</v>
      </c>
      <c r="AK15">
        <v>0</v>
      </c>
      <c r="AL15" t="s">
        <v>54</v>
      </c>
      <c r="AM15" t="s">
        <v>49</v>
      </c>
      <c r="AN15">
        <v>0.24360000000000001</v>
      </c>
      <c r="AO15">
        <v>0.94</v>
      </c>
      <c r="AP15">
        <v>131.14250000000001</v>
      </c>
      <c r="AQ15">
        <v>0.56000000000000005</v>
      </c>
      <c r="AR15">
        <v>1000</v>
      </c>
      <c r="AS15">
        <v>1000</v>
      </c>
    </row>
    <row r="16" spans="1:45" x14ac:dyDescent="0.2">
      <c r="A16" t="s">
        <v>80</v>
      </c>
      <c r="B16" t="s">
        <v>44</v>
      </c>
      <c r="C16" t="s">
        <v>45</v>
      </c>
      <c r="D16" t="s">
        <v>81</v>
      </c>
      <c r="E16">
        <v>40.722557000000002</v>
      </c>
      <c r="F16">
        <v>0.85905299999999996</v>
      </c>
      <c r="G16" s="1">
        <v>39822</v>
      </c>
      <c r="H16" s="1">
        <v>43438</v>
      </c>
      <c r="I16">
        <v>8.6164383559999997</v>
      </c>
      <c r="J16">
        <v>2.8125</v>
      </c>
      <c r="K16">
        <v>6.2029819980000003</v>
      </c>
      <c r="L16">
        <v>0.93923714000000003</v>
      </c>
      <c r="M16">
        <f t="shared" si="0"/>
        <v>-3.3904819980000003</v>
      </c>
      <c r="N16">
        <v>-0.21</v>
      </c>
      <c r="O16">
        <v>-2.67</v>
      </c>
      <c r="P16">
        <v>-9.7000000000000003E-2</v>
      </c>
      <c r="Q16">
        <v>0.1</v>
      </c>
      <c r="R16">
        <v>-0.1</v>
      </c>
      <c r="S16">
        <v>0</v>
      </c>
      <c r="T16">
        <v>0.2</v>
      </c>
      <c r="U16">
        <v>3.2049889999999998E-2</v>
      </c>
      <c r="V16">
        <v>0.33975054999999998</v>
      </c>
      <c r="W16">
        <v>22.399523569999999</v>
      </c>
      <c r="X16">
        <v>-29.194534569999998</v>
      </c>
      <c r="Y16">
        <v>32.399523569999999</v>
      </c>
      <c r="Z16">
        <v>-8.8729819980000002</v>
      </c>
      <c r="AA16">
        <v>63.8</v>
      </c>
      <c r="AB16">
        <v>9.5000000000000001E-2</v>
      </c>
      <c r="AC16">
        <v>21.45</v>
      </c>
      <c r="AD16">
        <v>805</v>
      </c>
      <c r="AE16">
        <v>4.6796847980000003</v>
      </c>
      <c r="AF16">
        <v>2.2969312909999999</v>
      </c>
      <c r="AG16" t="s">
        <v>82</v>
      </c>
      <c r="AH16">
        <v>0</v>
      </c>
      <c r="AI16">
        <v>1</v>
      </c>
      <c r="AJ16">
        <v>0</v>
      </c>
      <c r="AK16">
        <v>0</v>
      </c>
      <c r="AL16" t="s">
        <v>54</v>
      </c>
      <c r="AM16" t="s">
        <v>49</v>
      </c>
      <c r="AN16">
        <v>0.19420000000000001</v>
      </c>
      <c r="AO16">
        <v>0.84</v>
      </c>
      <c r="AP16">
        <v>73.832499999999996</v>
      </c>
      <c r="AQ16">
        <v>0.14000000000000001</v>
      </c>
      <c r="AR16">
        <v>1000</v>
      </c>
      <c r="AS16">
        <v>1000</v>
      </c>
    </row>
    <row r="17" spans="1:45" x14ac:dyDescent="0.2">
      <c r="A17" t="s">
        <v>83</v>
      </c>
      <c r="B17" t="s">
        <v>44</v>
      </c>
      <c r="C17" t="s">
        <v>45</v>
      </c>
      <c r="D17" t="s">
        <v>81</v>
      </c>
      <c r="E17">
        <v>40.722410000000004</v>
      </c>
      <c r="F17">
        <v>0.85891600000000001</v>
      </c>
      <c r="G17" s="1">
        <v>39822</v>
      </c>
      <c r="H17" s="1">
        <v>43438</v>
      </c>
      <c r="I17">
        <v>8.6164383559999997</v>
      </c>
      <c r="J17">
        <v>4.75</v>
      </c>
      <c r="K17">
        <v>5.5179864959999998</v>
      </c>
      <c r="L17">
        <v>0.72224750500000001</v>
      </c>
      <c r="M17">
        <f t="shared" si="0"/>
        <v>-0.7679864959999998</v>
      </c>
      <c r="N17">
        <v>-0.21</v>
      </c>
      <c r="O17">
        <v>-2.67</v>
      </c>
      <c r="P17">
        <v>-9.7000000000000003E-2</v>
      </c>
      <c r="Q17">
        <v>0.1</v>
      </c>
      <c r="R17">
        <v>-0.1</v>
      </c>
      <c r="S17">
        <v>0</v>
      </c>
      <c r="T17">
        <v>0.2</v>
      </c>
      <c r="U17">
        <v>0.35946450000000002</v>
      </c>
      <c r="V17">
        <v>-1.2973224999999999</v>
      </c>
      <c r="W17">
        <v>22.399523569999999</v>
      </c>
      <c r="X17">
        <v>3.5469264310000002</v>
      </c>
      <c r="Y17">
        <v>32.399523569999999</v>
      </c>
      <c r="Z17">
        <v>-8.1879864960000006</v>
      </c>
      <c r="AA17">
        <v>63.9</v>
      </c>
      <c r="AB17">
        <v>9.5000000000000001E-2</v>
      </c>
      <c r="AC17">
        <v>21.45</v>
      </c>
      <c r="AD17">
        <v>805</v>
      </c>
      <c r="AE17">
        <v>4.6796847980000003</v>
      </c>
      <c r="AF17">
        <v>2.2969312909999999</v>
      </c>
      <c r="AG17" t="s">
        <v>84</v>
      </c>
      <c r="AH17">
        <v>0</v>
      </c>
      <c r="AI17">
        <v>1</v>
      </c>
      <c r="AJ17">
        <v>1</v>
      </c>
      <c r="AK17">
        <v>0</v>
      </c>
      <c r="AL17" t="s">
        <v>54</v>
      </c>
      <c r="AM17" t="s">
        <v>49</v>
      </c>
      <c r="AN17">
        <v>9.7500000000000003E-2</v>
      </c>
      <c r="AO17">
        <v>0.83</v>
      </c>
      <c r="AP17">
        <v>88.212500000000006</v>
      </c>
      <c r="AQ17">
        <v>0.14000000000000001</v>
      </c>
      <c r="AR17">
        <v>1000</v>
      </c>
      <c r="AS17">
        <v>1000</v>
      </c>
    </row>
    <row r="18" spans="1:45" x14ac:dyDescent="0.2">
      <c r="A18" t="s">
        <v>85</v>
      </c>
      <c r="B18" t="s">
        <v>44</v>
      </c>
      <c r="C18" t="s">
        <v>45</v>
      </c>
      <c r="D18" t="s">
        <v>86</v>
      </c>
      <c r="E18">
        <v>40.722496999999997</v>
      </c>
      <c r="F18">
        <v>0.85874700000000004</v>
      </c>
      <c r="G18" s="1">
        <v>39822</v>
      </c>
      <c r="H18" s="1">
        <v>43438</v>
      </c>
      <c r="I18">
        <v>8.6164383559999997</v>
      </c>
      <c r="J18">
        <v>4.5625</v>
      </c>
      <c r="K18">
        <v>4.5461157810000001</v>
      </c>
      <c r="L18">
        <v>0.893665449</v>
      </c>
      <c r="M18">
        <f t="shared" si="0"/>
        <v>1.6384218999999867E-2</v>
      </c>
      <c r="N18">
        <v>-0.21</v>
      </c>
      <c r="O18">
        <v>-2.67</v>
      </c>
      <c r="P18">
        <v>-9.7000000000000003E-2</v>
      </c>
      <c r="Q18">
        <v>0.1</v>
      </c>
      <c r="R18">
        <v>-0.1</v>
      </c>
      <c r="S18">
        <v>0</v>
      </c>
      <c r="T18">
        <v>0.2</v>
      </c>
      <c r="U18">
        <v>0.44030669</v>
      </c>
      <c r="V18">
        <v>-1.7015334499999999</v>
      </c>
      <c r="W18">
        <v>22.399523569999999</v>
      </c>
      <c r="X18">
        <v>11.63114543</v>
      </c>
      <c r="Y18">
        <v>32.399523569999999</v>
      </c>
      <c r="Z18">
        <v>-7.2161157810000001</v>
      </c>
      <c r="AA18">
        <v>25</v>
      </c>
      <c r="AB18">
        <v>9.5000000000000001E-2</v>
      </c>
      <c r="AC18">
        <v>21.45</v>
      </c>
      <c r="AD18">
        <v>805</v>
      </c>
      <c r="AE18">
        <v>4.6796847980000003</v>
      </c>
      <c r="AF18">
        <v>2.2969312909999999</v>
      </c>
      <c r="AG18" t="s">
        <v>82</v>
      </c>
      <c r="AH18">
        <v>0</v>
      </c>
      <c r="AI18">
        <v>1</v>
      </c>
      <c r="AJ18">
        <v>0</v>
      </c>
      <c r="AK18">
        <v>0</v>
      </c>
      <c r="AL18" t="s">
        <v>54</v>
      </c>
      <c r="AM18" t="s">
        <v>49</v>
      </c>
      <c r="AN18">
        <v>0.14360000000000001</v>
      </c>
      <c r="AO18">
        <v>0.76</v>
      </c>
      <c r="AP18">
        <v>71.644999999999996</v>
      </c>
      <c r="AQ18">
        <v>0.14000000000000001</v>
      </c>
      <c r="AR18">
        <v>1000</v>
      </c>
      <c r="AS18">
        <v>1000</v>
      </c>
    </row>
    <row r="19" spans="1:45" x14ac:dyDescent="0.2">
      <c r="A19" t="s">
        <v>87</v>
      </c>
      <c r="B19" t="s">
        <v>44</v>
      </c>
      <c r="C19" t="s">
        <v>45</v>
      </c>
      <c r="D19" t="s">
        <v>86</v>
      </c>
      <c r="E19">
        <v>40.722496999999997</v>
      </c>
      <c r="F19">
        <v>0.85874700000000004</v>
      </c>
      <c r="G19" s="1">
        <v>39822</v>
      </c>
      <c r="H19" s="1">
        <v>43438</v>
      </c>
      <c r="I19">
        <v>8.6164383559999997</v>
      </c>
      <c r="J19">
        <v>4.1875</v>
      </c>
      <c r="K19">
        <v>8.7660744909999995</v>
      </c>
      <c r="L19">
        <v>0.83891883899999997</v>
      </c>
      <c r="M19">
        <f t="shared" si="0"/>
        <v>-4.5785744909999995</v>
      </c>
      <c r="N19">
        <v>-0.21</v>
      </c>
      <c r="O19">
        <v>-2.67</v>
      </c>
      <c r="P19">
        <v>-9.7000000000000003E-2</v>
      </c>
      <c r="Q19">
        <v>0.1</v>
      </c>
      <c r="R19">
        <v>-0.1</v>
      </c>
      <c r="S19">
        <v>0</v>
      </c>
      <c r="T19">
        <v>0.2</v>
      </c>
      <c r="U19">
        <v>0.44030669</v>
      </c>
      <c r="V19">
        <v>-1.7015334499999999</v>
      </c>
      <c r="W19">
        <v>22.399523569999999</v>
      </c>
      <c r="X19">
        <v>11.63114543</v>
      </c>
      <c r="Y19">
        <v>32.399523569999999</v>
      </c>
      <c r="Z19">
        <v>-11.436074489999999</v>
      </c>
      <c r="AA19">
        <v>25</v>
      </c>
      <c r="AB19">
        <v>9.5000000000000001E-2</v>
      </c>
      <c r="AC19">
        <v>21.45</v>
      </c>
      <c r="AD19">
        <v>805</v>
      </c>
      <c r="AE19">
        <v>4.6796847980000003</v>
      </c>
      <c r="AF19">
        <v>2.2969312909999999</v>
      </c>
      <c r="AG19" t="s">
        <v>84</v>
      </c>
      <c r="AH19">
        <v>0</v>
      </c>
      <c r="AI19">
        <v>1</v>
      </c>
      <c r="AJ19">
        <v>1</v>
      </c>
      <c r="AK19">
        <v>0</v>
      </c>
      <c r="AL19" t="s">
        <v>54</v>
      </c>
      <c r="AM19" t="s">
        <v>49</v>
      </c>
      <c r="AN19">
        <v>0.14360000000000001</v>
      </c>
      <c r="AO19">
        <v>0.76</v>
      </c>
      <c r="AP19">
        <v>71.644999999999996</v>
      </c>
      <c r="AQ19">
        <v>0.14000000000000001</v>
      </c>
      <c r="AR19">
        <v>1000</v>
      </c>
      <c r="AS19">
        <v>1000</v>
      </c>
    </row>
    <row r="20" spans="1:45" x14ac:dyDescent="0.2">
      <c r="A20" t="s">
        <v>88</v>
      </c>
      <c r="B20" t="s">
        <v>44</v>
      </c>
      <c r="C20" t="s">
        <v>45</v>
      </c>
      <c r="D20" t="s">
        <v>89</v>
      </c>
      <c r="E20">
        <v>40.790021000000003</v>
      </c>
      <c r="F20">
        <v>0.704739</v>
      </c>
      <c r="G20" s="1">
        <v>39853</v>
      </c>
      <c r="H20" t="s">
        <v>66</v>
      </c>
      <c r="I20">
        <v>8.5726027400000007</v>
      </c>
      <c r="J20" t="s">
        <v>68</v>
      </c>
      <c r="K20">
        <v>5.0902008509999996</v>
      </c>
      <c r="L20">
        <v>0.79830128099999997</v>
      </c>
      <c r="M20" t="s">
        <v>68</v>
      </c>
      <c r="N20">
        <v>-0.21</v>
      </c>
      <c r="O20">
        <v>-2.67</v>
      </c>
      <c r="P20">
        <v>-9.7000000000000003E-2</v>
      </c>
      <c r="Q20">
        <v>0.1</v>
      </c>
      <c r="R20">
        <v>-0.1</v>
      </c>
      <c r="S20">
        <v>0</v>
      </c>
      <c r="T20">
        <v>0.2</v>
      </c>
      <c r="U20">
        <v>1.2927091100000001</v>
      </c>
      <c r="V20">
        <v>-5.9635455500000001</v>
      </c>
      <c r="W20">
        <v>22.399523569999999</v>
      </c>
      <c r="X20">
        <v>96.871387429999999</v>
      </c>
      <c r="Y20">
        <v>32.399523569999999</v>
      </c>
      <c r="Z20">
        <v>-7.7602008509999996</v>
      </c>
      <c r="AA20">
        <v>35.9</v>
      </c>
      <c r="AB20">
        <v>0.1</v>
      </c>
      <c r="AC20">
        <v>21.45</v>
      </c>
      <c r="AD20">
        <v>805</v>
      </c>
      <c r="AE20">
        <v>5.1967919069999997</v>
      </c>
      <c r="AF20">
        <v>2.1063804560000001</v>
      </c>
      <c r="AG20" t="s">
        <v>64</v>
      </c>
      <c r="AH20">
        <v>0</v>
      </c>
      <c r="AI20">
        <v>0</v>
      </c>
      <c r="AJ20">
        <v>1</v>
      </c>
      <c r="AK20">
        <v>0</v>
      </c>
      <c r="AL20" t="s">
        <v>48</v>
      </c>
      <c r="AM20" t="s">
        <v>49</v>
      </c>
      <c r="AN20">
        <v>0.13170000000000001</v>
      </c>
      <c r="AO20">
        <v>0.2</v>
      </c>
      <c r="AP20">
        <v>28.76</v>
      </c>
      <c r="AQ20">
        <v>0.18</v>
      </c>
      <c r="AR20">
        <v>1000</v>
      </c>
      <c r="AS20">
        <v>1000</v>
      </c>
    </row>
    <row r="21" spans="1:45" x14ac:dyDescent="0.2">
      <c r="A21" t="s">
        <v>90</v>
      </c>
      <c r="B21" t="s">
        <v>44</v>
      </c>
      <c r="C21" t="s">
        <v>45</v>
      </c>
      <c r="D21" t="s">
        <v>91</v>
      </c>
      <c r="E21">
        <v>40.792506000000003</v>
      </c>
      <c r="F21">
        <v>0.70286300000000002</v>
      </c>
      <c r="G21" s="1">
        <v>39853</v>
      </c>
      <c r="H21" t="s">
        <v>66</v>
      </c>
      <c r="I21">
        <v>8.5726027400000007</v>
      </c>
      <c r="J21" t="s">
        <v>68</v>
      </c>
      <c r="K21">
        <v>1.319221924</v>
      </c>
      <c r="L21">
        <v>0.60312005599999996</v>
      </c>
      <c r="M21" t="s">
        <v>68</v>
      </c>
      <c r="N21">
        <v>-0.21</v>
      </c>
      <c r="O21">
        <v>-2.67</v>
      </c>
      <c r="P21">
        <v>-9.7000000000000003E-2</v>
      </c>
      <c r="Q21">
        <v>0.1</v>
      </c>
      <c r="R21">
        <v>-0.1</v>
      </c>
      <c r="S21">
        <v>0</v>
      </c>
      <c r="T21">
        <v>0.2</v>
      </c>
      <c r="U21">
        <v>0.38668849999999999</v>
      </c>
      <c r="V21">
        <v>-1.4334425</v>
      </c>
      <c r="W21">
        <v>22.399523569999999</v>
      </c>
      <c r="X21">
        <v>6.2693264309999996</v>
      </c>
      <c r="Y21">
        <v>32.399523569999999</v>
      </c>
      <c r="Z21">
        <v>-3.9892219240000002</v>
      </c>
      <c r="AA21" t="s">
        <v>68</v>
      </c>
      <c r="AB21">
        <v>0.73</v>
      </c>
      <c r="AC21">
        <v>21.45</v>
      </c>
      <c r="AD21">
        <v>805</v>
      </c>
      <c r="AE21">
        <v>3.4441606400000002</v>
      </c>
      <c r="AF21">
        <v>2.0570960880000002</v>
      </c>
      <c r="AG21" t="s">
        <v>92</v>
      </c>
      <c r="AH21">
        <v>0</v>
      </c>
      <c r="AI21">
        <v>1</v>
      </c>
      <c r="AJ21">
        <v>1</v>
      </c>
      <c r="AK21">
        <v>0</v>
      </c>
      <c r="AL21" t="s">
        <v>54</v>
      </c>
      <c r="AM21" t="s">
        <v>49</v>
      </c>
      <c r="AN21">
        <v>-2.3599999999999999E-2</v>
      </c>
      <c r="AO21">
        <v>0.2</v>
      </c>
      <c r="AP21">
        <v>54.47</v>
      </c>
      <c r="AQ21">
        <v>0.18</v>
      </c>
      <c r="AR21">
        <v>1000</v>
      </c>
      <c r="AS21">
        <v>2308.050847</v>
      </c>
    </row>
    <row r="22" spans="1:45" x14ac:dyDescent="0.2">
      <c r="A22" t="s">
        <v>93</v>
      </c>
      <c r="B22" t="s">
        <v>44</v>
      </c>
      <c r="C22" t="s">
        <v>45</v>
      </c>
      <c r="D22" t="s">
        <v>94</v>
      </c>
      <c r="E22">
        <v>40.590719999999997</v>
      </c>
      <c r="F22">
        <v>0.67674599999999996</v>
      </c>
      <c r="G22" s="1">
        <v>39881</v>
      </c>
      <c r="H22" s="1">
        <v>43315</v>
      </c>
      <c r="I22">
        <v>8.5150684929999993</v>
      </c>
      <c r="J22">
        <v>4.6875</v>
      </c>
      <c r="K22">
        <v>0.68303520799999995</v>
      </c>
      <c r="L22">
        <v>4.7736702999999998E-2</v>
      </c>
      <c r="M22">
        <f t="shared" si="0"/>
        <v>4.0044647920000003</v>
      </c>
      <c r="N22">
        <v>-0.21</v>
      </c>
      <c r="O22">
        <v>-2.67</v>
      </c>
      <c r="P22">
        <v>-9.7000000000000003E-2</v>
      </c>
      <c r="Q22">
        <v>0.1</v>
      </c>
      <c r="R22">
        <v>-0.1</v>
      </c>
      <c r="S22">
        <v>0</v>
      </c>
      <c r="T22">
        <v>0.2</v>
      </c>
      <c r="U22">
        <v>0.46386346000000001</v>
      </c>
      <c r="V22">
        <v>-1.8193173</v>
      </c>
      <c r="W22">
        <v>22.399523569999999</v>
      </c>
      <c r="X22">
        <v>13.98682243</v>
      </c>
      <c r="Y22">
        <v>32.399523569999999</v>
      </c>
      <c r="Z22">
        <v>-3.3530352080000001</v>
      </c>
      <c r="AA22">
        <v>18.5</v>
      </c>
      <c r="AB22">
        <v>1.2350000000000001</v>
      </c>
      <c r="AC22">
        <v>21.45</v>
      </c>
      <c r="AD22">
        <v>805</v>
      </c>
      <c r="AE22">
        <v>9.8236456709999995</v>
      </c>
      <c r="AF22">
        <v>1.677620618</v>
      </c>
      <c r="AG22" t="s">
        <v>53</v>
      </c>
      <c r="AH22">
        <v>0</v>
      </c>
      <c r="AI22">
        <v>1</v>
      </c>
      <c r="AJ22">
        <v>0</v>
      </c>
      <c r="AK22">
        <v>0</v>
      </c>
      <c r="AL22" t="s">
        <v>54</v>
      </c>
      <c r="AM22" t="s">
        <v>49</v>
      </c>
      <c r="AN22">
        <v>-3.5200000000000002E-2</v>
      </c>
      <c r="AO22">
        <v>0.16</v>
      </c>
      <c r="AP22">
        <v>5.375</v>
      </c>
      <c r="AQ22">
        <v>0.5</v>
      </c>
      <c r="AR22">
        <v>1000</v>
      </c>
      <c r="AS22">
        <v>152.69886360000001</v>
      </c>
    </row>
    <row r="23" spans="1:45" x14ac:dyDescent="0.2">
      <c r="A23" t="s">
        <v>95</v>
      </c>
      <c r="B23" t="s">
        <v>44</v>
      </c>
      <c r="C23" t="s">
        <v>45</v>
      </c>
      <c r="D23" t="s">
        <v>94</v>
      </c>
      <c r="E23">
        <v>40.591099</v>
      </c>
      <c r="F23">
        <v>0.676319</v>
      </c>
      <c r="G23" s="1">
        <v>39881</v>
      </c>
      <c r="H23" s="1">
        <v>43315</v>
      </c>
      <c r="I23">
        <v>8.5150684929999993</v>
      </c>
      <c r="J23">
        <v>3.6875</v>
      </c>
      <c r="K23">
        <v>1.029259226</v>
      </c>
      <c r="L23">
        <v>3.0713290000000001E-2</v>
      </c>
      <c r="M23">
        <f t="shared" si="0"/>
        <v>2.6582407740000003</v>
      </c>
      <c r="N23">
        <v>-0.21</v>
      </c>
      <c r="O23">
        <v>-2.67</v>
      </c>
      <c r="P23">
        <v>-9.7000000000000003E-2</v>
      </c>
      <c r="Q23">
        <v>0.1</v>
      </c>
      <c r="R23">
        <v>-0.1</v>
      </c>
      <c r="S23">
        <v>0</v>
      </c>
      <c r="T23">
        <v>0.2</v>
      </c>
      <c r="U23">
        <v>0.20022374000000001</v>
      </c>
      <c r="V23">
        <v>-0.50111870000000003</v>
      </c>
      <c r="W23">
        <v>22.399523569999999</v>
      </c>
      <c r="X23">
        <v>-12.37714957</v>
      </c>
      <c r="Y23">
        <v>32.399523569999999</v>
      </c>
      <c r="Z23">
        <v>-3.6992592260000001</v>
      </c>
      <c r="AA23">
        <v>18.5</v>
      </c>
      <c r="AB23">
        <v>1.2350000000000001</v>
      </c>
      <c r="AC23">
        <v>21.45</v>
      </c>
      <c r="AD23">
        <v>805</v>
      </c>
      <c r="AE23">
        <v>9.8236456709999995</v>
      </c>
      <c r="AF23">
        <v>1.677620618</v>
      </c>
      <c r="AG23" t="s">
        <v>53</v>
      </c>
      <c r="AH23">
        <v>0</v>
      </c>
      <c r="AI23">
        <v>1</v>
      </c>
      <c r="AJ23">
        <v>0</v>
      </c>
      <c r="AK23">
        <v>0</v>
      </c>
      <c r="AL23" t="s">
        <v>54</v>
      </c>
      <c r="AM23" t="s">
        <v>49</v>
      </c>
      <c r="AN23">
        <v>0.1739</v>
      </c>
      <c r="AO23">
        <v>0.74</v>
      </c>
      <c r="AP23">
        <v>19.952500000000001</v>
      </c>
      <c r="AQ23">
        <v>0.5</v>
      </c>
      <c r="AR23">
        <v>100</v>
      </c>
      <c r="AS23">
        <v>1000</v>
      </c>
    </row>
    <row r="24" spans="1:45" x14ac:dyDescent="0.2">
      <c r="A24" t="s">
        <v>96</v>
      </c>
      <c r="B24" t="s">
        <v>44</v>
      </c>
      <c r="C24" t="s">
        <v>45</v>
      </c>
      <c r="D24" t="s">
        <v>97</v>
      </c>
      <c r="E24">
        <v>40.662733000000003</v>
      </c>
      <c r="F24">
        <v>0.77733600000000003</v>
      </c>
      <c r="G24" t="s">
        <v>98</v>
      </c>
      <c r="H24" s="1">
        <v>43377</v>
      </c>
      <c r="I24">
        <v>8.0356164379999999</v>
      </c>
      <c r="J24">
        <v>0.4375</v>
      </c>
      <c r="K24">
        <v>2.7648344389999999</v>
      </c>
      <c r="L24">
        <v>0.146968984</v>
      </c>
      <c r="M24">
        <f t="shared" si="0"/>
        <v>-2.3273344389999999</v>
      </c>
      <c r="N24">
        <v>-0.21</v>
      </c>
      <c r="O24">
        <v>-2.46</v>
      </c>
      <c r="P24">
        <v>-9.7000000000000003E-2</v>
      </c>
      <c r="Q24">
        <v>0.1</v>
      </c>
      <c r="R24">
        <v>-0.1</v>
      </c>
      <c r="S24">
        <v>0</v>
      </c>
      <c r="T24">
        <v>0.2</v>
      </c>
      <c r="U24">
        <v>0.38842344000000001</v>
      </c>
      <c r="V24">
        <v>-1.4421172</v>
      </c>
      <c r="W24">
        <v>22.399523569999999</v>
      </c>
      <c r="X24">
        <v>6.4428204310000003</v>
      </c>
      <c r="Y24">
        <v>32.399523569999999</v>
      </c>
      <c r="Z24">
        <v>-5.2248344390000003</v>
      </c>
      <c r="AA24" t="s">
        <v>68</v>
      </c>
      <c r="AB24">
        <v>1.1200000000000001</v>
      </c>
      <c r="AC24">
        <v>21.45</v>
      </c>
      <c r="AD24">
        <v>805</v>
      </c>
      <c r="AE24">
        <v>3.9284749130000001</v>
      </c>
      <c r="AF24">
        <v>1.8674179689999999</v>
      </c>
      <c r="AG24" t="s">
        <v>64</v>
      </c>
      <c r="AH24">
        <v>0</v>
      </c>
      <c r="AI24">
        <v>0</v>
      </c>
      <c r="AJ24">
        <v>1</v>
      </c>
      <c r="AK24">
        <v>0</v>
      </c>
      <c r="AL24" t="s">
        <v>48</v>
      </c>
      <c r="AM24" t="s">
        <v>49</v>
      </c>
      <c r="AN24">
        <v>8.7400000000000005E-2</v>
      </c>
      <c r="AO24">
        <v>6.7000000000000004E-2</v>
      </c>
      <c r="AP24">
        <v>85.305000000000007</v>
      </c>
      <c r="AQ24">
        <v>0.03</v>
      </c>
      <c r="AR24">
        <v>1000</v>
      </c>
      <c r="AS24">
        <v>1000</v>
      </c>
    </row>
    <row r="25" spans="1:45" x14ac:dyDescent="0.2">
      <c r="A25" t="s">
        <v>99</v>
      </c>
      <c r="B25" t="s">
        <v>44</v>
      </c>
      <c r="C25" t="s">
        <v>45</v>
      </c>
      <c r="D25" t="s">
        <v>97</v>
      </c>
      <c r="E25">
        <v>40.662948</v>
      </c>
      <c r="F25">
        <v>0.77677300000000005</v>
      </c>
      <c r="G25" t="s">
        <v>98</v>
      </c>
      <c r="H25" s="1">
        <v>43377</v>
      </c>
      <c r="I25">
        <v>8.0356164379999999</v>
      </c>
      <c r="J25">
        <v>3.6875</v>
      </c>
      <c r="K25">
        <v>-0.40124523499999998</v>
      </c>
      <c r="L25">
        <v>3.312845E-3</v>
      </c>
      <c r="M25">
        <f t="shared" si="0"/>
        <v>4.0887452350000002</v>
      </c>
      <c r="N25">
        <v>-0.21</v>
      </c>
      <c r="O25">
        <v>-2.46</v>
      </c>
      <c r="P25">
        <v>-9.7000000000000003E-2</v>
      </c>
      <c r="Q25">
        <v>0.1</v>
      </c>
      <c r="R25">
        <v>-0.1</v>
      </c>
      <c r="S25">
        <v>0</v>
      </c>
      <c r="T25">
        <v>0.2</v>
      </c>
      <c r="U25">
        <v>0.46859613</v>
      </c>
      <c r="V25">
        <v>-1.8429806500000001</v>
      </c>
      <c r="W25">
        <v>22.399523569999999</v>
      </c>
      <c r="X25">
        <v>14.46008943</v>
      </c>
      <c r="Y25">
        <v>32.399523569999999</v>
      </c>
      <c r="Z25">
        <v>-2.0587547650000002</v>
      </c>
      <c r="AA25" t="s">
        <v>68</v>
      </c>
      <c r="AB25">
        <v>1.1200000000000001</v>
      </c>
      <c r="AC25">
        <v>21.45</v>
      </c>
      <c r="AD25">
        <v>805</v>
      </c>
      <c r="AE25">
        <v>3.9284749130000001</v>
      </c>
      <c r="AF25">
        <v>1.8674179689999999</v>
      </c>
      <c r="AG25" t="s">
        <v>64</v>
      </c>
      <c r="AH25">
        <v>0</v>
      </c>
      <c r="AI25">
        <v>0</v>
      </c>
      <c r="AJ25">
        <v>1</v>
      </c>
      <c r="AK25">
        <v>0</v>
      </c>
      <c r="AL25" t="s">
        <v>48</v>
      </c>
      <c r="AM25" t="s">
        <v>49</v>
      </c>
      <c r="AN25">
        <v>0.19270000000000001</v>
      </c>
      <c r="AO25">
        <v>0.48</v>
      </c>
      <c r="AP25">
        <v>33.134999999999998</v>
      </c>
      <c r="AQ25">
        <v>0.03</v>
      </c>
      <c r="AR25">
        <v>756</v>
      </c>
      <c r="AS25">
        <v>1000</v>
      </c>
    </row>
    <row r="26" spans="1:45" x14ac:dyDescent="0.2">
      <c r="A26" t="s">
        <v>100</v>
      </c>
      <c r="B26" t="s">
        <v>44</v>
      </c>
      <c r="C26" t="s">
        <v>45</v>
      </c>
      <c r="D26" t="s">
        <v>101</v>
      </c>
      <c r="E26">
        <v>40.649642999999998</v>
      </c>
      <c r="F26">
        <v>0.75951000000000002</v>
      </c>
      <c r="G26" t="s">
        <v>55</v>
      </c>
      <c r="H26" s="1">
        <v>43346</v>
      </c>
      <c r="I26">
        <v>8.5424657530000001</v>
      </c>
      <c r="J26" t="s">
        <v>68</v>
      </c>
      <c r="K26">
        <v>0.92807018600000002</v>
      </c>
      <c r="L26">
        <v>0.249206276</v>
      </c>
      <c r="M26" t="s">
        <v>68</v>
      </c>
      <c r="N26">
        <v>-0.21</v>
      </c>
      <c r="O26">
        <v>-2.46</v>
      </c>
      <c r="P26">
        <v>-9.7000000000000003E-2</v>
      </c>
      <c r="Q26">
        <v>0.1</v>
      </c>
      <c r="R26">
        <v>-0.1</v>
      </c>
      <c r="S26">
        <v>0</v>
      </c>
      <c r="T26">
        <v>0.2</v>
      </c>
      <c r="U26">
        <v>0.39221787000000002</v>
      </c>
      <c r="V26">
        <v>-1.46108935</v>
      </c>
      <c r="W26">
        <v>22.399523569999999</v>
      </c>
      <c r="X26">
        <v>6.8222634309999997</v>
      </c>
      <c r="Y26">
        <v>32.399523569999999</v>
      </c>
      <c r="Z26">
        <v>-3.3880701860000002</v>
      </c>
      <c r="AA26">
        <v>38.200000000000003</v>
      </c>
      <c r="AB26">
        <v>0.22500000000000001</v>
      </c>
      <c r="AC26">
        <v>21.45</v>
      </c>
      <c r="AD26">
        <v>805</v>
      </c>
      <c r="AE26">
        <v>3.9284749130000001</v>
      </c>
      <c r="AF26">
        <v>1.8674179689999999</v>
      </c>
      <c r="AG26" t="s">
        <v>53</v>
      </c>
      <c r="AH26">
        <v>0</v>
      </c>
      <c r="AI26">
        <v>1</v>
      </c>
      <c r="AJ26">
        <v>0</v>
      </c>
      <c r="AK26">
        <v>0</v>
      </c>
      <c r="AL26" t="s">
        <v>54</v>
      </c>
      <c r="AM26" t="s">
        <v>49</v>
      </c>
      <c r="AN26">
        <v>-0.14299999999999999</v>
      </c>
      <c r="AO26">
        <v>0.32</v>
      </c>
      <c r="AP26">
        <v>213.01</v>
      </c>
      <c r="AQ26">
        <v>0.36</v>
      </c>
      <c r="AR26">
        <v>1000</v>
      </c>
      <c r="AS26">
        <v>1489.58042</v>
      </c>
    </row>
    <row r="27" spans="1:45" x14ac:dyDescent="0.2">
      <c r="A27" t="s">
        <v>102</v>
      </c>
      <c r="B27" t="s">
        <v>44</v>
      </c>
      <c r="C27" t="s">
        <v>45</v>
      </c>
      <c r="D27" t="s">
        <v>101</v>
      </c>
      <c r="E27">
        <v>40.649335999999998</v>
      </c>
      <c r="F27">
        <v>0.75851500000000005</v>
      </c>
      <c r="G27" t="s">
        <v>55</v>
      </c>
      <c r="H27" s="1">
        <v>43346</v>
      </c>
      <c r="I27">
        <v>8.5424657530000001</v>
      </c>
      <c r="J27">
        <v>2</v>
      </c>
      <c r="K27">
        <v>-0.28732224299999998</v>
      </c>
      <c r="L27">
        <v>1.1680930000000001E-2</v>
      </c>
      <c r="M27">
        <f t="shared" si="0"/>
        <v>2.2873222430000002</v>
      </c>
      <c r="N27">
        <v>-0.21</v>
      </c>
      <c r="O27">
        <v>-2.46</v>
      </c>
      <c r="P27">
        <v>-9.7000000000000003E-2</v>
      </c>
      <c r="Q27">
        <v>0.1</v>
      </c>
      <c r="R27">
        <v>-0.1</v>
      </c>
      <c r="S27">
        <v>0</v>
      </c>
      <c r="T27">
        <v>0.2</v>
      </c>
      <c r="U27">
        <v>0.55752128000000001</v>
      </c>
      <c r="V27">
        <v>-2.2876064</v>
      </c>
      <c r="W27">
        <v>22.399523569999999</v>
      </c>
      <c r="X27">
        <v>23.35260443</v>
      </c>
      <c r="Y27">
        <v>32.399523569999999</v>
      </c>
      <c r="Z27">
        <v>-2.1726777570000002</v>
      </c>
      <c r="AA27">
        <v>38.200000000000003</v>
      </c>
      <c r="AB27">
        <v>0.22500000000000001</v>
      </c>
      <c r="AC27">
        <v>21.45</v>
      </c>
      <c r="AD27">
        <v>805</v>
      </c>
      <c r="AE27">
        <v>3.9284749130000001</v>
      </c>
      <c r="AF27">
        <v>1.8674179689999999</v>
      </c>
      <c r="AG27" t="s">
        <v>53</v>
      </c>
      <c r="AH27">
        <v>0</v>
      </c>
      <c r="AI27">
        <v>1</v>
      </c>
      <c r="AJ27">
        <v>0</v>
      </c>
      <c r="AK27">
        <v>0</v>
      </c>
      <c r="AL27" t="s">
        <v>54</v>
      </c>
      <c r="AM27" t="s">
        <v>49</v>
      </c>
      <c r="AN27">
        <v>1.35E-2</v>
      </c>
      <c r="AO27">
        <v>0.45</v>
      </c>
      <c r="AP27">
        <v>124.1275</v>
      </c>
      <c r="AQ27">
        <v>0.36</v>
      </c>
      <c r="AR27">
        <v>3020</v>
      </c>
      <c r="AS27">
        <v>1000</v>
      </c>
    </row>
    <row r="28" spans="1:45" x14ac:dyDescent="0.2">
      <c r="A28" t="s">
        <v>103</v>
      </c>
      <c r="B28" t="s">
        <v>44</v>
      </c>
      <c r="C28" t="s">
        <v>45</v>
      </c>
      <c r="D28" t="s">
        <v>104</v>
      </c>
      <c r="E28">
        <v>40.672474999999999</v>
      </c>
      <c r="F28">
        <v>0.59589000000000003</v>
      </c>
      <c r="G28" t="s">
        <v>71</v>
      </c>
      <c r="H28" s="1">
        <v>43437</v>
      </c>
      <c r="I28">
        <v>8.5452054789999998</v>
      </c>
      <c r="J28">
        <v>1.3125</v>
      </c>
      <c r="K28">
        <v>-4.6317668269999999</v>
      </c>
      <c r="L28">
        <v>0.17155505099999999</v>
      </c>
      <c r="M28">
        <f t="shared" si="0"/>
        <v>5.9442668269999999</v>
      </c>
      <c r="N28">
        <v>-0.21</v>
      </c>
      <c r="O28">
        <v>-2.46</v>
      </c>
      <c r="P28">
        <v>-9.7000000000000003E-2</v>
      </c>
      <c r="Q28">
        <v>0.1</v>
      </c>
      <c r="R28">
        <v>-0.1</v>
      </c>
      <c r="S28">
        <v>0</v>
      </c>
      <c r="T28">
        <v>0.2</v>
      </c>
      <c r="U28">
        <v>1.2503942299999999</v>
      </c>
      <c r="V28">
        <v>-5.7519711500000001</v>
      </c>
      <c r="W28">
        <v>22.399523569999999</v>
      </c>
      <c r="X28">
        <v>92.63989943</v>
      </c>
      <c r="Y28">
        <v>32.399523569999999</v>
      </c>
      <c r="Z28">
        <v>2.1717668269999999</v>
      </c>
      <c r="AA28">
        <v>21.8</v>
      </c>
      <c r="AB28">
        <v>0.73</v>
      </c>
      <c r="AC28">
        <v>21.45</v>
      </c>
      <c r="AD28">
        <v>805</v>
      </c>
      <c r="AE28">
        <v>2.399583357</v>
      </c>
      <c r="AF28">
        <v>1.5579066319999999</v>
      </c>
      <c r="AG28" t="s">
        <v>64</v>
      </c>
      <c r="AH28">
        <v>0</v>
      </c>
      <c r="AI28">
        <v>0</v>
      </c>
      <c r="AJ28">
        <v>1</v>
      </c>
      <c r="AK28">
        <v>0</v>
      </c>
      <c r="AL28" t="s">
        <v>48</v>
      </c>
      <c r="AM28" t="s">
        <v>49</v>
      </c>
      <c r="AN28">
        <v>3.9199999999999999E-2</v>
      </c>
      <c r="AO28">
        <v>0.9</v>
      </c>
      <c r="AP28">
        <v>4887.5474999999997</v>
      </c>
      <c r="AQ28">
        <v>0.01</v>
      </c>
      <c r="AR28">
        <v>210</v>
      </c>
      <c r="AS28">
        <v>1000</v>
      </c>
    </row>
    <row r="29" spans="1:45" x14ac:dyDescent="0.2">
      <c r="A29" t="s">
        <v>105</v>
      </c>
      <c r="B29" t="s">
        <v>44</v>
      </c>
      <c r="C29" t="s">
        <v>45</v>
      </c>
      <c r="D29" t="s">
        <v>104</v>
      </c>
      <c r="E29">
        <v>40.672356999999998</v>
      </c>
      <c r="F29">
        <v>0.59584700000000002</v>
      </c>
      <c r="G29" t="s">
        <v>71</v>
      </c>
      <c r="H29" s="1">
        <v>43437</v>
      </c>
      <c r="I29">
        <v>8.5452054789999998</v>
      </c>
      <c r="J29">
        <v>3.1875</v>
      </c>
      <c r="K29">
        <v>-3.6414575139999998</v>
      </c>
      <c r="L29">
        <v>0.200020894</v>
      </c>
      <c r="M29">
        <f t="shared" si="0"/>
        <v>6.8289575139999998</v>
      </c>
      <c r="N29">
        <v>-0.21</v>
      </c>
      <c r="O29">
        <v>-2.67</v>
      </c>
      <c r="P29">
        <v>-9.7000000000000003E-2</v>
      </c>
      <c r="Q29">
        <v>0.1</v>
      </c>
      <c r="R29">
        <v>-0.1</v>
      </c>
      <c r="S29">
        <v>0</v>
      </c>
      <c r="T29">
        <v>0.2</v>
      </c>
      <c r="U29">
        <v>1.49340308</v>
      </c>
      <c r="V29">
        <v>-6.9670154000000002</v>
      </c>
      <c r="W29">
        <v>22.399523569999999</v>
      </c>
      <c r="X29">
        <v>116.9407844</v>
      </c>
      <c r="Y29">
        <v>32.399523569999999</v>
      </c>
      <c r="Z29">
        <v>0.97145751400000002</v>
      </c>
      <c r="AA29">
        <v>21.8</v>
      </c>
      <c r="AB29">
        <v>0.73</v>
      </c>
      <c r="AC29">
        <v>21.45</v>
      </c>
      <c r="AD29">
        <v>805</v>
      </c>
      <c r="AE29">
        <v>2.399583357</v>
      </c>
      <c r="AF29">
        <v>1.5579066319999999</v>
      </c>
      <c r="AG29" t="s">
        <v>64</v>
      </c>
      <c r="AH29">
        <v>0</v>
      </c>
      <c r="AI29">
        <v>0</v>
      </c>
      <c r="AJ29">
        <v>1</v>
      </c>
      <c r="AK29">
        <v>0</v>
      </c>
      <c r="AL29" t="s">
        <v>48</v>
      </c>
      <c r="AM29" t="s">
        <v>49</v>
      </c>
      <c r="AN29">
        <v>-5.3E-3</v>
      </c>
      <c r="AO29">
        <v>2E-3</v>
      </c>
      <c r="AP29">
        <v>5203.9825000000001</v>
      </c>
      <c r="AQ29">
        <v>0.01</v>
      </c>
      <c r="AR29">
        <v>341</v>
      </c>
      <c r="AS29">
        <v>981883.49060000002</v>
      </c>
    </row>
    <row r="30" spans="1:45" x14ac:dyDescent="0.2">
      <c r="A30" t="s">
        <v>106</v>
      </c>
      <c r="B30" t="s">
        <v>44</v>
      </c>
      <c r="C30" t="s">
        <v>45</v>
      </c>
      <c r="D30" t="s">
        <v>107</v>
      </c>
      <c r="E30">
        <v>40.641737999999997</v>
      </c>
      <c r="F30">
        <v>0.62007500000000004</v>
      </c>
      <c r="G30" s="1">
        <v>39912</v>
      </c>
      <c r="H30" s="1">
        <v>43437</v>
      </c>
      <c r="I30">
        <v>8.5232876710000003</v>
      </c>
      <c r="J30" t="s">
        <v>68</v>
      </c>
      <c r="K30">
        <v>-0.94956349600000001</v>
      </c>
      <c r="L30">
        <v>1.3154580000000001E-2</v>
      </c>
      <c r="M30" t="s">
        <v>68</v>
      </c>
      <c r="N30">
        <v>-0.21</v>
      </c>
      <c r="O30">
        <v>-2.67</v>
      </c>
      <c r="P30">
        <v>-9.7000000000000003E-2</v>
      </c>
      <c r="Q30">
        <v>0.1</v>
      </c>
      <c r="R30">
        <v>-0.1</v>
      </c>
      <c r="S30">
        <v>0</v>
      </c>
      <c r="T30">
        <v>0.2</v>
      </c>
      <c r="U30">
        <v>0.92104357000000003</v>
      </c>
      <c r="V30">
        <v>-4.1052178499999998</v>
      </c>
      <c r="W30">
        <v>22.399523569999999</v>
      </c>
      <c r="X30">
        <v>59.704833430000001</v>
      </c>
      <c r="Y30">
        <v>32.399523569999999</v>
      </c>
      <c r="Z30">
        <v>-1.720436504</v>
      </c>
      <c r="AA30">
        <v>47.3</v>
      </c>
      <c r="AB30">
        <v>0.115</v>
      </c>
      <c r="AC30">
        <v>21.45</v>
      </c>
      <c r="AD30">
        <v>805</v>
      </c>
      <c r="AE30">
        <v>2.399583357</v>
      </c>
      <c r="AF30">
        <v>1.5579066319999999</v>
      </c>
      <c r="AG30" t="s">
        <v>108</v>
      </c>
      <c r="AH30">
        <v>0</v>
      </c>
      <c r="AI30">
        <v>0</v>
      </c>
      <c r="AJ30">
        <v>1</v>
      </c>
      <c r="AK30">
        <v>0</v>
      </c>
      <c r="AL30" t="s">
        <v>48</v>
      </c>
      <c r="AM30" t="s">
        <v>49</v>
      </c>
      <c r="AN30">
        <v>7.2900000000000006E-2</v>
      </c>
      <c r="AO30">
        <v>0.62</v>
      </c>
      <c r="AP30">
        <v>73.372500000000002</v>
      </c>
      <c r="AQ30">
        <v>0.04</v>
      </c>
      <c r="AR30">
        <v>807</v>
      </c>
      <c r="AS30">
        <v>1000</v>
      </c>
    </row>
    <row r="31" spans="1:45" x14ac:dyDescent="0.2">
      <c r="A31" t="s">
        <v>109</v>
      </c>
      <c r="B31" t="s">
        <v>44</v>
      </c>
      <c r="C31" t="s">
        <v>45</v>
      </c>
      <c r="D31" t="s">
        <v>107</v>
      </c>
      <c r="E31">
        <v>40.641573999999999</v>
      </c>
      <c r="F31">
        <v>0.62199740000000003</v>
      </c>
      <c r="G31" s="1">
        <v>39912</v>
      </c>
      <c r="H31" s="1">
        <v>43437</v>
      </c>
      <c r="I31">
        <v>8.5232876710000003</v>
      </c>
      <c r="J31">
        <v>1.1875</v>
      </c>
      <c r="K31">
        <v>0.88522977899999999</v>
      </c>
      <c r="L31">
        <v>1.0338307E-2</v>
      </c>
      <c r="M31">
        <f t="shared" si="0"/>
        <v>0.30227022100000001</v>
      </c>
      <c r="N31">
        <v>-0.21</v>
      </c>
      <c r="O31">
        <v>-2.67</v>
      </c>
      <c r="P31">
        <v>-9.7000000000000003E-2</v>
      </c>
      <c r="Q31">
        <v>0.1</v>
      </c>
      <c r="R31">
        <v>-0.1</v>
      </c>
      <c r="S31">
        <v>0</v>
      </c>
      <c r="T31">
        <v>0.2</v>
      </c>
      <c r="U31">
        <v>0.79014647000000005</v>
      </c>
      <c r="V31">
        <v>-3.45073235</v>
      </c>
      <c r="W31">
        <v>22.399523569999999</v>
      </c>
      <c r="X31">
        <v>46.615123429999997</v>
      </c>
      <c r="Y31">
        <v>32.399523569999999</v>
      </c>
      <c r="Z31">
        <v>-3.5552297789999998</v>
      </c>
      <c r="AA31">
        <v>47.3</v>
      </c>
      <c r="AB31">
        <v>0.115</v>
      </c>
      <c r="AC31">
        <v>21.45</v>
      </c>
      <c r="AD31">
        <v>805</v>
      </c>
      <c r="AE31">
        <v>2.399583357</v>
      </c>
      <c r="AF31">
        <v>1.5579066319999999</v>
      </c>
      <c r="AG31" t="s">
        <v>108</v>
      </c>
      <c r="AH31">
        <v>0</v>
      </c>
      <c r="AI31">
        <v>0</v>
      </c>
      <c r="AJ31">
        <v>1</v>
      </c>
      <c r="AK31">
        <v>0</v>
      </c>
      <c r="AL31" t="s">
        <v>48</v>
      </c>
      <c r="AM31" t="s">
        <v>49</v>
      </c>
      <c r="AN31">
        <v>-0.1293</v>
      </c>
      <c r="AO31">
        <v>0.96</v>
      </c>
      <c r="AP31">
        <v>228.7175</v>
      </c>
      <c r="AQ31">
        <v>0.04</v>
      </c>
      <c r="AR31">
        <v>1000</v>
      </c>
      <c r="AS31">
        <v>1768.8901780000001</v>
      </c>
    </row>
    <row r="32" spans="1:45" x14ac:dyDescent="0.2">
      <c r="A32" t="s">
        <v>110</v>
      </c>
      <c r="B32" t="s">
        <v>44</v>
      </c>
      <c r="C32" t="s">
        <v>111</v>
      </c>
      <c r="D32" t="s">
        <v>112</v>
      </c>
      <c r="E32">
        <v>51.832270000000001</v>
      </c>
      <c r="F32">
        <v>0.97381450000000003</v>
      </c>
      <c r="G32" s="1">
        <v>41163</v>
      </c>
      <c r="H32" t="s">
        <v>114</v>
      </c>
      <c r="I32">
        <v>4.1178082189999996</v>
      </c>
      <c r="J32">
        <v>3.501053449</v>
      </c>
      <c r="K32">
        <v>3.8661313349999999</v>
      </c>
      <c r="L32">
        <v>0.97802257599999998</v>
      </c>
      <c r="M32">
        <f t="shared" si="0"/>
        <v>-0.36507788599999991</v>
      </c>
      <c r="N32">
        <v>1.22</v>
      </c>
      <c r="O32">
        <v>11.56</v>
      </c>
      <c r="P32">
        <v>0.19</v>
      </c>
      <c r="Q32">
        <v>2.4350000000000001</v>
      </c>
      <c r="R32">
        <v>-1.8</v>
      </c>
      <c r="S32">
        <v>0.3175</v>
      </c>
      <c r="T32">
        <v>4.2350000000000003</v>
      </c>
      <c r="U32">
        <v>2.7210000000000001</v>
      </c>
      <c r="V32">
        <v>-6.7532467999999998E-2</v>
      </c>
      <c r="W32">
        <v>-121.0943451</v>
      </c>
      <c r="X32">
        <v>149.69434509999999</v>
      </c>
      <c r="Y32">
        <v>122.4056549</v>
      </c>
      <c r="Z32">
        <v>7.6938686650000001</v>
      </c>
      <c r="AA32">
        <v>12.6</v>
      </c>
      <c r="AB32">
        <v>0.52</v>
      </c>
      <c r="AC32">
        <v>15.1</v>
      </c>
      <c r="AD32">
        <v>594</v>
      </c>
      <c r="AE32">
        <v>13.586627050000001</v>
      </c>
      <c r="AF32">
        <v>7.2175119719999996</v>
      </c>
      <c r="AG32" t="s">
        <v>53</v>
      </c>
      <c r="AH32">
        <v>0</v>
      </c>
      <c r="AI32">
        <v>1</v>
      </c>
      <c r="AJ32">
        <v>0</v>
      </c>
      <c r="AK32">
        <v>0</v>
      </c>
      <c r="AL32" t="s">
        <v>54</v>
      </c>
      <c r="AM32" t="s">
        <v>113</v>
      </c>
      <c r="AN32">
        <v>-0.14180000000000001</v>
      </c>
      <c r="AO32">
        <v>0.62</v>
      </c>
      <c r="AP32">
        <v>40.28</v>
      </c>
      <c r="AQ32">
        <v>0.27</v>
      </c>
      <c r="AR32">
        <v>1000</v>
      </c>
      <c r="AS32">
        <v>284.06205920000002</v>
      </c>
    </row>
    <row r="33" spans="1:45" x14ac:dyDescent="0.2">
      <c r="A33" t="s">
        <v>115</v>
      </c>
      <c r="B33" t="s">
        <v>44</v>
      </c>
      <c r="C33" t="s">
        <v>111</v>
      </c>
      <c r="D33" t="s">
        <v>112</v>
      </c>
      <c r="E33">
        <v>51.832250000000002</v>
      </c>
      <c r="F33">
        <v>0.97404389999999996</v>
      </c>
      <c r="G33" s="1">
        <v>41163</v>
      </c>
      <c r="H33" t="s">
        <v>114</v>
      </c>
      <c r="I33">
        <v>4.1178082189999996</v>
      </c>
      <c r="J33">
        <v>2.812985141</v>
      </c>
      <c r="K33">
        <v>3.3028209020000001</v>
      </c>
      <c r="L33">
        <v>0.82443289600000003</v>
      </c>
      <c r="M33">
        <f t="shared" si="0"/>
        <v>-0.48983576100000015</v>
      </c>
      <c r="N33">
        <v>1.22</v>
      </c>
      <c r="O33">
        <v>11.56</v>
      </c>
      <c r="P33">
        <v>0.19</v>
      </c>
      <c r="Q33">
        <v>2.4350000000000001</v>
      </c>
      <c r="R33">
        <v>-1.8</v>
      </c>
      <c r="S33">
        <v>0.3175</v>
      </c>
      <c r="T33">
        <v>4.2350000000000003</v>
      </c>
      <c r="U33">
        <v>2.8039999999999998</v>
      </c>
      <c r="V33">
        <v>-8.7131051000000001E-2</v>
      </c>
      <c r="W33">
        <v>-121.0943451</v>
      </c>
      <c r="X33">
        <v>157.9943451</v>
      </c>
      <c r="Y33">
        <v>122.4056549</v>
      </c>
      <c r="Z33">
        <v>8.2571790979999999</v>
      </c>
      <c r="AA33">
        <v>12.6</v>
      </c>
      <c r="AB33">
        <v>0.52</v>
      </c>
      <c r="AC33">
        <v>15.1</v>
      </c>
      <c r="AD33">
        <v>594</v>
      </c>
      <c r="AE33">
        <v>13.586627050000001</v>
      </c>
      <c r="AF33">
        <v>7.2175119719999996</v>
      </c>
      <c r="AG33" t="s">
        <v>53</v>
      </c>
      <c r="AH33">
        <v>0</v>
      </c>
      <c r="AI33">
        <v>1</v>
      </c>
      <c r="AJ33">
        <v>0</v>
      </c>
      <c r="AK33">
        <v>0</v>
      </c>
      <c r="AL33" t="s">
        <v>54</v>
      </c>
      <c r="AM33" t="s">
        <v>113</v>
      </c>
      <c r="AN33">
        <v>-2.5999999999999999E-2</v>
      </c>
      <c r="AO33">
        <v>7.0000000000000007E-2</v>
      </c>
      <c r="AP33">
        <v>25.355</v>
      </c>
      <c r="AQ33">
        <v>0.27</v>
      </c>
      <c r="AR33">
        <v>1000</v>
      </c>
      <c r="AS33">
        <v>975.19230770000001</v>
      </c>
    </row>
    <row r="34" spans="1:45" x14ac:dyDescent="0.2">
      <c r="A34" t="s">
        <v>116</v>
      </c>
      <c r="B34" t="s">
        <v>44</v>
      </c>
      <c r="C34" t="s">
        <v>111</v>
      </c>
      <c r="D34" t="s">
        <v>112</v>
      </c>
      <c r="E34">
        <v>51.832239999999999</v>
      </c>
      <c r="F34">
        <v>0.97427350000000001</v>
      </c>
      <c r="G34" s="1">
        <v>41163</v>
      </c>
      <c r="H34" t="s">
        <v>114</v>
      </c>
      <c r="I34">
        <v>4.1178082189999996</v>
      </c>
      <c r="J34">
        <v>4.330782879</v>
      </c>
      <c r="K34">
        <v>3.87001134</v>
      </c>
      <c r="L34">
        <v>0.89281361299999995</v>
      </c>
      <c r="M34">
        <f t="shared" si="0"/>
        <v>0.46077153900000001</v>
      </c>
      <c r="N34">
        <v>1.22</v>
      </c>
      <c r="O34">
        <v>11.56</v>
      </c>
      <c r="P34">
        <v>0.19</v>
      </c>
      <c r="Q34">
        <v>2.4350000000000001</v>
      </c>
      <c r="R34">
        <v>-1.8</v>
      </c>
      <c r="S34">
        <v>0.3175</v>
      </c>
      <c r="T34">
        <v>4.2350000000000003</v>
      </c>
      <c r="U34">
        <v>2.569</v>
      </c>
      <c r="V34">
        <v>-3.1641085999999999E-2</v>
      </c>
      <c r="W34">
        <v>-121.0943451</v>
      </c>
      <c r="X34">
        <v>134.4943451</v>
      </c>
      <c r="Y34">
        <v>122.4056549</v>
      </c>
      <c r="Z34">
        <v>7.68998866</v>
      </c>
      <c r="AA34">
        <v>12.6</v>
      </c>
      <c r="AB34">
        <v>0.52</v>
      </c>
      <c r="AC34">
        <v>15.1</v>
      </c>
      <c r="AD34">
        <v>594</v>
      </c>
      <c r="AE34">
        <v>13.586627050000001</v>
      </c>
      <c r="AF34">
        <v>7.2175119719999996</v>
      </c>
      <c r="AG34" t="s">
        <v>53</v>
      </c>
      <c r="AH34">
        <v>0</v>
      </c>
      <c r="AI34">
        <v>1</v>
      </c>
      <c r="AJ34">
        <v>0</v>
      </c>
      <c r="AK34">
        <v>0</v>
      </c>
      <c r="AL34" t="s">
        <v>54</v>
      </c>
      <c r="AM34" t="s">
        <v>113</v>
      </c>
      <c r="AN34">
        <v>-0.2107</v>
      </c>
      <c r="AO34">
        <v>0.47</v>
      </c>
      <c r="AP34">
        <v>10.824999999999999</v>
      </c>
      <c r="AQ34">
        <v>0.27</v>
      </c>
      <c r="AR34">
        <v>1000</v>
      </c>
      <c r="AS34">
        <v>51.376364500000001</v>
      </c>
    </row>
    <row r="35" spans="1:45" x14ac:dyDescent="0.2">
      <c r="A35" t="s">
        <v>117</v>
      </c>
      <c r="B35" t="s">
        <v>44</v>
      </c>
      <c r="C35" t="s">
        <v>111</v>
      </c>
      <c r="D35" t="s">
        <v>112</v>
      </c>
      <c r="E35">
        <v>51.694229999999997</v>
      </c>
      <c r="F35">
        <v>0.94156759999999995</v>
      </c>
      <c r="G35" s="1">
        <v>41163</v>
      </c>
      <c r="H35" t="s">
        <v>118</v>
      </c>
      <c r="I35">
        <v>4.2767123290000004</v>
      </c>
      <c r="J35">
        <v>9.7621716850000002</v>
      </c>
      <c r="K35">
        <v>9.5373970289999992</v>
      </c>
      <c r="L35">
        <v>0.98572117400000003</v>
      </c>
      <c r="M35">
        <f t="shared" si="0"/>
        <v>0.22477465600000102</v>
      </c>
      <c r="N35">
        <v>1.22</v>
      </c>
      <c r="O35">
        <v>11.56</v>
      </c>
      <c r="P35">
        <v>0.19</v>
      </c>
      <c r="Q35">
        <v>2.4350000000000001</v>
      </c>
      <c r="R35">
        <v>-1.8</v>
      </c>
      <c r="S35">
        <v>0.3175</v>
      </c>
      <c r="T35">
        <v>4.2350000000000003</v>
      </c>
      <c r="U35">
        <v>2.7320000000000002</v>
      </c>
      <c r="V35">
        <v>-7.0129869999999997E-2</v>
      </c>
      <c r="W35">
        <v>-121.0943451</v>
      </c>
      <c r="X35">
        <v>150.79434509999999</v>
      </c>
      <c r="Y35">
        <v>122.4056549</v>
      </c>
      <c r="Z35">
        <v>2.022602971</v>
      </c>
      <c r="AA35">
        <v>8.1999999999999993</v>
      </c>
      <c r="AB35">
        <v>0.81</v>
      </c>
      <c r="AC35">
        <v>15.1</v>
      </c>
      <c r="AD35">
        <v>594</v>
      </c>
      <c r="AE35">
        <v>24.438986079999999</v>
      </c>
      <c r="AF35">
        <v>8.3955105079999992</v>
      </c>
      <c r="AG35" t="s">
        <v>53</v>
      </c>
      <c r="AH35">
        <v>0</v>
      </c>
      <c r="AI35">
        <v>1</v>
      </c>
      <c r="AJ35">
        <v>0</v>
      </c>
      <c r="AK35">
        <v>0</v>
      </c>
      <c r="AL35" t="s">
        <v>54</v>
      </c>
      <c r="AM35" t="s">
        <v>113</v>
      </c>
      <c r="AN35">
        <v>0.95279999999999998</v>
      </c>
      <c r="AO35">
        <v>0.99</v>
      </c>
      <c r="AP35">
        <v>18.067499999999999</v>
      </c>
      <c r="AQ35">
        <v>0.15</v>
      </c>
      <c r="AR35">
        <v>1000</v>
      </c>
      <c r="AS35">
        <v>1000</v>
      </c>
    </row>
    <row r="36" spans="1:45" x14ac:dyDescent="0.2">
      <c r="A36" t="s">
        <v>119</v>
      </c>
      <c r="B36" t="s">
        <v>44</v>
      </c>
      <c r="C36" t="s">
        <v>111</v>
      </c>
      <c r="D36" t="s">
        <v>112</v>
      </c>
      <c r="E36">
        <v>51.694139999999997</v>
      </c>
      <c r="F36">
        <v>0.94138140000000003</v>
      </c>
      <c r="G36" s="1">
        <v>41163</v>
      </c>
      <c r="H36" t="s">
        <v>118</v>
      </c>
      <c r="I36">
        <v>4.2767123290000004</v>
      </c>
      <c r="J36">
        <v>9.9375400379999999</v>
      </c>
      <c r="K36">
        <v>10.79337516</v>
      </c>
      <c r="L36">
        <v>0.97519287899999996</v>
      </c>
      <c r="M36">
        <f t="shared" si="0"/>
        <v>-0.85583512200000023</v>
      </c>
      <c r="N36">
        <v>1.22</v>
      </c>
      <c r="O36">
        <v>11.56</v>
      </c>
      <c r="P36">
        <v>0.19</v>
      </c>
      <c r="Q36">
        <v>2.4350000000000001</v>
      </c>
      <c r="R36">
        <v>-1.8</v>
      </c>
      <c r="S36">
        <v>0.3175</v>
      </c>
      <c r="T36">
        <v>4.2350000000000003</v>
      </c>
      <c r="U36">
        <v>2.7930000000000001</v>
      </c>
      <c r="V36">
        <v>-8.4533648000000003E-2</v>
      </c>
      <c r="W36">
        <v>-121.0943451</v>
      </c>
      <c r="X36">
        <v>156.89434510000001</v>
      </c>
      <c r="Y36">
        <v>122.4056549</v>
      </c>
      <c r="Z36">
        <v>0.76662483999999997</v>
      </c>
      <c r="AA36">
        <v>8.1999999999999993</v>
      </c>
      <c r="AB36">
        <v>0.81</v>
      </c>
      <c r="AC36">
        <v>15.1</v>
      </c>
      <c r="AD36">
        <v>594</v>
      </c>
      <c r="AE36">
        <v>24.438986079999999</v>
      </c>
      <c r="AF36">
        <v>8.3955105079999992</v>
      </c>
      <c r="AG36" t="s">
        <v>53</v>
      </c>
      <c r="AH36">
        <v>0</v>
      </c>
      <c r="AI36">
        <v>1</v>
      </c>
      <c r="AJ36">
        <v>0</v>
      </c>
      <c r="AK36">
        <v>0</v>
      </c>
      <c r="AL36" t="s">
        <v>54</v>
      </c>
      <c r="AM36" t="s">
        <v>113</v>
      </c>
      <c r="AN36">
        <v>0.84409999999999996</v>
      </c>
      <c r="AO36">
        <v>0.84</v>
      </c>
      <c r="AP36">
        <v>28.19</v>
      </c>
      <c r="AQ36">
        <v>0.15</v>
      </c>
      <c r="AR36">
        <v>1000</v>
      </c>
      <c r="AS36">
        <v>1000</v>
      </c>
    </row>
    <row r="37" spans="1:45" x14ac:dyDescent="0.2">
      <c r="A37" t="s">
        <v>120</v>
      </c>
      <c r="B37" t="s">
        <v>44</v>
      </c>
      <c r="C37" t="s">
        <v>111</v>
      </c>
      <c r="D37" t="s">
        <v>112</v>
      </c>
      <c r="E37">
        <v>51.69406</v>
      </c>
      <c r="F37">
        <v>0.94119450000000004</v>
      </c>
      <c r="G37" s="1">
        <v>41163</v>
      </c>
      <c r="H37" t="s">
        <v>118</v>
      </c>
      <c r="I37">
        <v>4.2767123290000004</v>
      </c>
      <c r="J37">
        <v>9.3919496050000006</v>
      </c>
      <c r="K37">
        <v>8.2440827930000005</v>
      </c>
      <c r="L37">
        <v>0.96697718600000004</v>
      </c>
      <c r="M37">
        <f t="shared" si="0"/>
        <v>1.1478668120000002</v>
      </c>
      <c r="N37">
        <v>1.22</v>
      </c>
      <c r="O37">
        <v>11.56</v>
      </c>
      <c r="P37">
        <v>0.19</v>
      </c>
      <c r="Q37">
        <v>2.4350000000000001</v>
      </c>
      <c r="R37">
        <v>-1.8</v>
      </c>
      <c r="S37">
        <v>0.3175</v>
      </c>
      <c r="T37">
        <v>4.2350000000000003</v>
      </c>
      <c r="U37">
        <v>2.7679999999999998</v>
      </c>
      <c r="V37">
        <v>-7.8630459999999999E-2</v>
      </c>
      <c r="W37">
        <v>-121.0943451</v>
      </c>
      <c r="X37">
        <v>154.39434510000001</v>
      </c>
      <c r="Y37">
        <v>122.4056549</v>
      </c>
      <c r="Z37">
        <v>3.315917207</v>
      </c>
      <c r="AA37">
        <v>8.1999999999999993</v>
      </c>
      <c r="AB37">
        <v>0.81</v>
      </c>
      <c r="AC37">
        <v>15.1</v>
      </c>
      <c r="AD37">
        <v>594</v>
      </c>
      <c r="AE37">
        <v>24.438986079999999</v>
      </c>
      <c r="AF37">
        <v>8.3955105079999992</v>
      </c>
      <c r="AG37" t="s">
        <v>53</v>
      </c>
      <c r="AH37">
        <v>0</v>
      </c>
      <c r="AI37">
        <v>1</v>
      </c>
      <c r="AJ37">
        <v>0</v>
      </c>
      <c r="AK37">
        <v>0</v>
      </c>
      <c r="AL37" t="s">
        <v>54</v>
      </c>
      <c r="AM37" t="s">
        <v>113</v>
      </c>
      <c r="AN37">
        <v>1.052</v>
      </c>
      <c r="AO37">
        <v>0.9</v>
      </c>
      <c r="AP37">
        <v>42.365000000000002</v>
      </c>
      <c r="AQ37">
        <v>0.15</v>
      </c>
      <c r="AR37">
        <v>1000</v>
      </c>
      <c r="AS37">
        <v>1000</v>
      </c>
    </row>
    <row r="38" spans="1:45" x14ac:dyDescent="0.2">
      <c r="A38" t="s">
        <v>121</v>
      </c>
      <c r="B38" t="s">
        <v>44</v>
      </c>
      <c r="C38" t="s">
        <v>111</v>
      </c>
      <c r="D38" t="s">
        <v>122</v>
      </c>
      <c r="E38">
        <v>52.963990000000003</v>
      </c>
      <c r="F38">
        <v>0.92945040000000001</v>
      </c>
      <c r="G38" t="s">
        <v>123</v>
      </c>
      <c r="H38" s="1">
        <v>37873</v>
      </c>
      <c r="I38">
        <v>7.9534246580000003</v>
      </c>
      <c r="J38" t="s">
        <v>68</v>
      </c>
      <c r="K38">
        <v>-2.063904</v>
      </c>
      <c r="L38">
        <v>0.26285783400000001</v>
      </c>
      <c r="M38" t="s">
        <v>68</v>
      </c>
      <c r="N38">
        <v>2.56</v>
      </c>
      <c r="O38">
        <v>7.98</v>
      </c>
      <c r="P38">
        <v>0.22</v>
      </c>
      <c r="Q38">
        <v>1.83</v>
      </c>
      <c r="R38">
        <v>-1.33</v>
      </c>
      <c r="S38">
        <v>0.25</v>
      </c>
      <c r="T38">
        <v>3.16</v>
      </c>
      <c r="U38">
        <v>2.524</v>
      </c>
      <c r="V38">
        <v>-0.21962025299999999</v>
      </c>
      <c r="W38">
        <v>-107.33113299999999</v>
      </c>
      <c r="X38">
        <v>176.731133</v>
      </c>
      <c r="Y38">
        <v>75.668867050000003</v>
      </c>
      <c r="Z38">
        <v>10.043903999999999</v>
      </c>
      <c r="AA38">
        <v>13.7</v>
      </c>
      <c r="AB38">
        <v>0.49</v>
      </c>
      <c r="AC38">
        <v>13.3</v>
      </c>
      <c r="AD38">
        <v>627</v>
      </c>
      <c r="AE38">
        <v>10.970630079999999</v>
      </c>
      <c r="AF38">
        <v>11.09768609</v>
      </c>
      <c r="AG38" t="s">
        <v>68</v>
      </c>
      <c r="AH38">
        <v>0</v>
      </c>
      <c r="AI38">
        <v>0</v>
      </c>
      <c r="AJ38">
        <v>0</v>
      </c>
      <c r="AK38">
        <v>0</v>
      </c>
      <c r="AL38" t="s">
        <v>68</v>
      </c>
      <c r="AM38" t="s">
        <v>113</v>
      </c>
      <c r="AN38">
        <v>0.26790000000000003</v>
      </c>
      <c r="AO38">
        <v>0.99</v>
      </c>
      <c r="AP38">
        <v>3.85</v>
      </c>
      <c r="AQ38">
        <v>0.12</v>
      </c>
      <c r="AR38">
        <v>382</v>
      </c>
      <c r="AS38">
        <v>1000</v>
      </c>
    </row>
    <row r="39" spans="1:45" x14ac:dyDescent="0.2">
      <c r="A39" t="s">
        <v>124</v>
      </c>
      <c r="B39" t="s">
        <v>44</v>
      </c>
      <c r="C39" t="s">
        <v>111</v>
      </c>
      <c r="D39" t="s">
        <v>122</v>
      </c>
      <c r="E39">
        <v>52.963679999999997</v>
      </c>
      <c r="F39">
        <v>0.92894840000000001</v>
      </c>
      <c r="G39" t="s">
        <v>123</v>
      </c>
      <c r="H39" s="1">
        <v>37873</v>
      </c>
      <c r="I39">
        <v>7.9534246580000003</v>
      </c>
      <c r="J39" t="s">
        <v>68</v>
      </c>
      <c r="K39">
        <v>2.3194270170000002</v>
      </c>
      <c r="L39">
        <v>0.92440659300000005</v>
      </c>
      <c r="M39" t="s">
        <v>68</v>
      </c>
      <c r="N39">
        <v>2.56</v>
      </c>
      <c r="O39">
        <v>7.98</v>
      </c>
      <c r="P39">
        <v>0.22</v>
      </c>
      <c r="Q39">
        <v>1.83</v>
      </c>
      <c r="R39">
        <v>-1.33</v>
      </c>
      <c r="S39">
        <v>0.25</v>
      </c>
      <c r="T39">
        <v>3.16</v>
      </c>
      <c r="U39">
        <v>2.7829999999999999</v>
      </c>
      <c r="V39">
        <v>-0.30158227799999998</v>
      </c>
      <c r="W39">
        <v>-107.33113299999999</v>
      </c>
      <c r="X39">
        <v>202.63113300000001</v>
      </c>
      <c r="Y39">
        <v>75.668867050000003</v>
      </c>
      <c r="Z39">
        <v>5.6605729829999998</v>
      </c>
      <c r="AA39">
        <v>13.7</v>
      </c>
      <c r="AB39">
        <v>0.49</v>
      </c>
      <c r="AC39">
        <v>13.3</v>
      </c>
      <c r="AD39">
        <v>627</v>
      </c>
      <c r="AE39">
        <v>10.970630079999999</v>
      </c>
      <c r="AF39">
        <v>11.09768609</v>
      </c>
      <c r="AG39" t="s">
        <v>68</v>
      </c>
      <c r="AH39">
        <v>0</v>
      </c>
      <c r="AI39">
        <v>0</v>
      </c>
      <c r="AJ39">
        <v>0</v>
      </c>
      <c r="AK39">
        <v>0</v>
      </c>
      <c r="AL39" t="s">
        <v>68</v>
      </c>
      <c r="AM39" t="s">
        <v>113</v>
      </c>
      <c r="AN39">
        <v>0.36549999999999999</v>
      </c>
      <c r="AO39">
        <v>0.89</v>
      </c>
      <c r="AP39">
        <v>39.606666670000003</v>
      </c>
      <c r="AQ39">
        <v>0.12</v>
      </c>
      <c r="AR39">
        <v>8423</v>
      </c>
      <c r="AS39">
        <v>1000</v>
      </c>
    </row>
    <row r="40" spans="1:45" x14ac:dyDescent="0.2">
      <c r="A40" t="s">
        <v>125</v>
      </c>
      <c r="B40" t="s">
        <v>44</v>
      </c>
      <c r="C40" t="s">
        <v>111</v>
      </c>
      <c r="D40" t="s">
        <v>122</v>
      </c>
      <c r="E40">
        <v>52.963180000000001</v>
      </c>
      <c r="F40">
        <v>0.92806180000000005</v>
      </c>
      <c r="G40" t="s">
        <v>123</v>
      </c>
      <c r="H40" s="1">
        <v>37873</v>
      </c>
      <c r="I40">
        <v>7.9534246580000003</v>
      </c>
      <c r="J40" t="s">
        <v>68</v>
      </c>
      <c r="K40">
        <v>4.4232501009999998</v>
      </c>
      <c r="L40">
        <v>0.98461359400000004</v>
      </c>
      <c r="M40" t="s">
        <v>68</v>
      </c>
      <c r="N40">
        <v>2.56</v>
      </c>
      <c r="O40">
        <v>7.98</v>
      </c>
      <c r="P40">
        <v>0.22</v>
      </c>
      <c r="Q40">
        <v>1.83</v>
      </c>
      <c r="R40">
        <v>-1.33</v>
      </c>
      <c r="S40">
        <v>0.25</v>
      </c>
      <c r="T40">
        <v>3.16</v>
      </c>
      <c r="U40">
        <v>2.992</v>
      </c>
      <c r="V40">
        <v>-0.367721519</v>
      </c>
      <c r="W40">
        <v>-107.33113299999999</v>
      </c>
      <c r="X40">
        <v>223.53113300000001</v>
      </c>
      <c r="Y40">
        <v>75.668867050000003</v>
      </c>
      <c r="Z40">
        <v>3.5567498990000002</v>
      </c>
      <c r="AA40">
        <v>14.5</v>
      </c>
      <c r="AB40">
        <v>0.41</v>
      </c>
      <c r="AC40">
        <v>13.3</v>
      </c>
      <c r="AD40">
        <v>627</v>
      </c>
      <c r="AE40">
        <v>10.970630079999999</v>
      </c>
      <c r="AF40">
        <v>11.09768609</v>
      </c>
      <c r="AG40" t="s">
        <v>68</v>
      </c>
      <c r="AH40">
        <v>0</v>
      </c>
      <c r="AI40">
        <v>0</v>
      </c>
      <c r="AJ40">
        <v>0</v>
      </c>
      <c r="AK40">
        <v>0</v>
      </c>
      <c r="AL40" t="s">
        <v>68</v>
      </c>
      <c r="AM40" t="s">
        <v>113</v>
      </c>
      <c r="AN40">
        <v>0.28449999999999998</v>
      </c>
      <c r="AO40">
        <v>0.73</v>
      </c>
      <c r="AP40">
        <v>90.15</v>
      </c>
      <c r="AQ40">
        <v>0.12</v>
      </c>
      <c r="AR40">
        <v>1000</v>
      </c>
      <c r="AS40">
        <v>1000</v>
      </c>
    </row>
    <row r="41" spans="1:45" x14ac:dyDescent="0.2">
      <c r="A41" t="s">
        <v>126</v>
      </c>
      <c r="B41" t="s">
        <v>44</v>
      </c>
      <c r="C41" t="s">
        <v>111</v>
      </c>
      <c r="D41" t="s">
        <v>122</v>
      </c>
      <c r="E41">
        <v>52.961970000000001</v>
      </c>
      <c r="F41">
        <v>0.92578629999999995</v>
      </c>
      <c r="G41" t="s">
        <v>123</v>
      </c>
      <c r="H41" s="1">
        <v>37873</v>
      </c>
      <c r="I41">
        <v>7.9534246580000003</v>
      </c>
      <c r="J41" t="s">
        <v>68</v>
      </c>
      <c r="K41">
        <v>2.980490643</v>
      </c>
      <c r="L41">
        <v>0.83819928600000004</v>
      </c>
      <c r="M41" t="s">
        <v>68</v>
      </c>
      <c r="N41">
        <v>2.56</v>
      </c>
      <c r="O41">
        <v>7.98</v>
      </c>
      <c r="P41">
        <v>0.22</v>
      </c>
      <c r="Q41">
        <v>1.83</v>
      </c>
      <c r="R41">
        <v>-1.33</v>
      </c>
      <c r="S41">
        <v>0.25</v>
      </c>
      <c r="T41">
        <v>3.16</v>
      </c>
      <c r="U41">
        <v>3.0649999999999999</v>
      </c>
      <c r="V41">
        <v>-0.39082278500000001</v>
      </c>
      <c r="W41">
        <v>-107.33113299999999</v>
      </c>
      <c r="X41">
        <v>230.83113299999999</v>
      </c>
      <c r="Y41">
        <v>75.668867050000003</v>
      </c>
      <c r="Z41">
        <v>4.999509357</v>
      </c>
      <c r="AA41">
        <v>11.1</v>
      </c>
      <c r="AB41">
        <v>0.61</v>
      </c>
      <c r="AC41">
        <v>13.3</v>
      </c>
      <c r="AD41">
        <v>627</v>
      </c>
      <c r="AE41">
        <v>10.970630079999999</v>
      </c>
      <c r="AF41">
        <v>11.09768609</v>
      </c>
      <c r="AG41" t="s">
        <v>68</v>
      </c>
      <c r="AH41">
        <v>0</v>
      </c>
      <c r="AI41">
        <v>0</v>
      </c>
      <c r="AJ41">
        <v>0</v>
      </c>
      <c r="AK41">
        <v>0</v>
      </c>
      <c r="AL41" t="s">
        <v>68</v>
      </c>
      <c r="AM41" t="s">
        <v>113</v>
      </c>
      <c r="AN41">
        <v>0.16489999999999999</v>
      </c>
      <c r="AO41">
        <v>0.99</v>
      </c>
      <c r="AP41">
        <v>277.76499999999999</v>
      </c>
      <c r="AQ41">
        <v>0.12</v>
      </c>
      <c r="AR41">
        <v>1000</v>
      </c>
      <c r="AS41">
        <v>1000</v>
      </c>
    </row>
    <row r="42" spans="1:45" x14ac:dyDescent="0.2">
      <c r="A42" t="s">
        <v>127</v>
      </c>
      <c r="B42" t="s">
        <v>44</v>
      </c>
      <c r="C42" t="s">
        <v>111</v>
      </c>
      <c r="D42" t="s">
        <v>122</v>
      </c>
      <c r="E42">
        <v>52.961880000000001</v>
      </c>
      <c r="F42">
        <v>0.92590609999999995</v>
      </c>
      <c r="G42" t="s">
        <v>123</v>
      </c>
      <c r="H42" s="1">
        <v>37873</v>
      </c>
      <c r="I42">
        <v>7.9534246580000003</v>
      </c>
      <c r="J42" t="s">
        <v>68</v>
      </c>
      <c r="K42">
        <v>2.385288546</v>
      </c>
      <c r="L42">
        <v>0.95615457199999998</v>
      </c>
      <c r="M42" t="s">
        <v>68</v>
      </c>
      <c r="N42">
        <v>2.56</v>
      </c>
      <c r="O42">
        <v>7.98</v>
      </c>
      <c r="P42">
        <v>0.22</v>
      </c>
      <c r="Q42">
        <v>1.83</v>
      </c>
      <c r="R42">
        <v>-1.33</v>
      </c>
      <c r="S42">
        <v>0.25</v>
      </c>
      <c r="T42">
        <v>3.16</v>
      </c>
      <c r="U42">
        <v>3.5110000000000001</v>
      </c>
      <c r="V42">
        <v>-0.53196202500000001</v>
      </c>
      <c r="W42">
        <v>-107.33113299999999</v>
      </c>
      <c r="X42">
        <v>275.43113299999999</v>
      </c>
      <c r="Y42">
        <v>75.668867050000003</v>
      </c>
      <c r="Z42">
        <v>5.5947114539999996</v>
      </c>
      <c r="AA42">
        <v>14.5</v>
      </c>
      <c r="AB42">
        <v>0.41</v>
      </c>
      <c r="AC42">
        <v>13.3</v>
      </c>
      <c r="AD42">
        <v>627</v>
      </c>
      <c r="AE42">
        <v>10.970630079999999</v>
      </c>
      <c r="AF42">
        <v>11.09768609</v>
      </c>
      <c r="AG42" t="s">
        <v>68</v>
      </c>
      <c r="AH42">
        <v>0</v>
      </c>
      <c r="AI42">
        <v>0</v>
      </c>
      <c r="AJ42">
        <v>0</v>
      </c>
      <c r="AK42">
        <v>0</v>
      </c>
      <c r="AL42" t="s">
        <v>68</v>
      </c>
      <c r="AM42" t="s">
        <v>113</v>
      </c>
      <c r="AN42">
        <v>0.14349999999999999</v>
      </c>
      <c r="AO42">
        <v>0.99</v>
      </c>
      <c r="AP42">
        <v>311.94</v>
      </c>
      <c r="AQ42">
        <v>0.12</v>
      </c>
      <c r="AR42">
        <v>15765</v>
      </c>
      <c r="AS42">
        <v>1000</v>
      </c>
    </row>
    <row r="43" spans="1:45" x14ac:dyDescent="0.2">
      <c r="A43" t="s">
        <v>128</v>
      </c>
      <c r="B43" t="s">
        <v>44</v>
      </c>
      <c r="C43" t="s">
        <v>111</v>
      </c>
      <c r="D43" t="s">
        <v>122</v>
      </c>
      <c r="E43">
        <v>52.963990000000003</v>
      </c>
      <c r="F43">
        <v>0.92945040000000001</v>
      </c>
      <c r="G43" s="1">
        <v>37965</v>
      </c>
      <c r="H43" t="s">
        <v>129</v>
      </c>
      <c r="I43">
        <v>12.63287671</v>
      </c>
      <c r="J43" t="s">
        <v>68</v>
      </c>
      <c r="K43">
        <v>-2.3195898239999999</v>
      </c>
      <c r="L43">
        <v>0.41371776500000002</v>
      </c>
      <c r="M43" t="s">
        <v>68</v>
      </c>
      <c r="N43">
        <v>2.56</v>
      </c>
      <c r="O43">
        <v>1.5</v>
      </c>
      <c r="P43">
        <v>0.22</v>
      </c>
      <c r="Q43">
        <v>1.83</v>
      </c>
      <c r="R43">
        <v>-1.33</v>
      </c>
      <c r="S43">
        <v>0.25</v>
      </c>
      <c r="T43">
        <v>3.16</v>
      </c>
      <c r="U43">
        <v>2.524</v>
      </c>
      <c r="V43">
        <v>-0.21962025299999999</v>
      </c>
      <c r="W43">
        <v>-107.33113299999999</v>
      </c>
      <c r="X43">
        <v>176.731133</v>
      </c>
      <c r="Y43">
        <v>75.668867050000003</v>
      </c>
      <c r="Z43">
        <v>3.8195898239999999</v>
      </c>
      <c r="AA43">
        <v>13.7</v>
      </c>
      <c r="AB43">
        <v>0.49</v>
      </c>
      <c r="AC43">
        <v>13.3</v>
      </c>
      <c r="AD43">
        <v>627</v>
      </c>
      <c r="AE43">
        <v>10.970630079999999</v>
      </c>
      <c r="AF43">
        <v>11.09768609</v>
      </c>
      <c r="AG43" t="s">
        <v>68</v>
      </c>
      <c r="AH43">
        <v>0</v>
      </c>
      <c r="AI43">
        <v>0</v>
      </c>
      <c r="AJ43">
        <v>0</v>
      </c>
      <c r="AK43">
        <v>0</v>
      </c>
      <c r="AL43" t="s">
        <v>68</v>
      </c>
      <c r="AM43" t="s">
        <v>113</v>
      </c>
      <c r="AN43">
        <v>0.26790000000000003</v>
      </c>
      <c r="AO43">
        <v>0.99</v>
      </c>
      <c r="AP43">
        <v>3.85</v>
      </c>
      <c r="AQ43">
        <v>0.12</v>
      </c>
      <c r="AR43">
        <v>362</v>
      </c>
      <c r="AS43">
        <v>1000</v>
      </c>
    </row>
    <row r="44" spans="1:45" x14ac:dyDescent="0.2">
      <c r="A44" t="s">
        <v>130</v>
      </c>
      <c r="B44" t="s">
        <v>44</v>
      </c>
      <c r="C44" t="s">
        <v>111</v>
      </c>
      <c r="D44" t="s">
        <v>122</v>
      </c>
      <c r="E44">
        <v>52.963679999999997</v>
      </c>
      <c r="F44">
        <v>0.92894840000000001</v>
      </c>
      <c r="G44" s="1">
        <v>37965</v>
      </c>
      <c r="H44" t="s">
        <v>129</v>
      </c>
      <c r="I44">
        <v>12.63287671</v>
      </c>
      <c r="J44" t="s">
        <v>68</v>
      </c>
      <c r="K44">
        <v>-1.3889905330000001</v>
      </c>
      <c r="L44">
        <v>0.79599283499999995</v>
      </c>
      <c r="M44" t="s">
        <v>68</v>
      </c>
      <c r="N44">
        <v>2.56</v>
      </c>
      <c r="O44">
        <v>1.5</v>
      </c>
      <c r="P44">
        <v>0.22</v>
      </c>
      <c r="Q44">
        <v>1.83</v>
      </c>
      <c r="R44">
        <v>-1.33</v>
      </c>
      <c r="S44">
        <v>0.25</v>
      </c>
      <c r="T44">
        <v>3.16</v>
      </c>
      <c r="U44">
        <v>2.7829999999999999</v>
      </c>
      <c r="V44">
        <v>-0.30158227799999998</v>
      </c>
      <c r="W44">
        <v>-107.33113299999999</v>
      </c>
      <c r="X44">
        <v>202.63113300000001</v>
      </c>
      <c r="Y44">
        <v>75.668867050000003</v>
      </c>
      <c r="Z44">
        <v>2.8889905329999999</v>
      </c>
      <c r="AA44">
        <v>13.7</v>
      </c>
      <c r="AB44">
        <v>0.49</v>
      </c>
      <c r="AC44">
        <v>13.3</v>
      </c>
      <c r="AD44">
        <v>627</v>
      </c>
      <c r="AE44">
        <v>10.970630079999999</v>
      </c>
      <c r="AF44">
        <v>11.09768609</v>
      </c>
      <c r="AG44" t="s">
        <v>68</v>
      </c>
      <c r="AH44">
        <v>0</v>
      </c>
      <c r="AI44">
        <v>0</v>
      </c>
      <c r="AJ44">
        <v>0</v>
      </c>
      <c r="AK44">
        <v>0</v>
      </c>
      <c r="AL44" t="s">
        <v>68</v>
      </c>
      <c r="AM44" t="s">
        <v>113</v>
      </c>
      <c r="AN44">
        <v>0.36549999999999999</v>
      </c>
      <c r="AO44">
        <v>0.89</v>
      </c>
      <c r="AP44">
        <v>39.606666670000003</v>
      </c>
      <c r="AQ44">
        <v>0.12</v>
      </c>
      <c r="AR44">
        <v>513</v>
      </c>
      <c r="AS44">
        <v>1000</v>
      </c>
    </row>
    <row r="45" spans="1:45" x14ac:dyDescent="0.2">
      <c r="A45" t="s">
        <v>131</v>
      </c>
      <c r="B45" t="s">
        <v>44</v>
      </c>
      <c r="C45" t="s">
        <v>111</v>
      </c>
      <c r="D45" t="s">
        <v>122</v>
      </c>
      <c r="E45">
        <v>52.963180000000001</v>
      </c>
      <c r="F45">
        <v>0.92806180000000005</v>
      </c>
      <c r="G45" s="1">
        <v>37965</v>
      </c>
      <c r="H45" t="s">
        <v>129</v>
      </c>
      <c r="I45">
        <v>12.63287671</v>
      </c>
      <c r="J45" t="s">
        <v>68</v>
      </c>
      <c r="K45">
        <v>3.6783747020000002</v>
      </c>
      <c r="L45">
        <v>0.97027679</v>
      </c>
      <c r="M45" t="s">
        <v>68</v>
      </c>
      <c r="N45">
        <v>2.56</v>
      </c>
      <c r="O45">
        <v>1.5</v>
      </c>
      <c r="P45">
        <v>0.22</v>
      </c>
      <c r="Q45">
        <v>1.83</v>
      </c>
      <c r="R45">
        <v>-1.33</v>
      </c>
      <c r="S45">
        <v>0.25</v>
      </c>
      <c r="T45">
        <v>3.16</v>
      </c>
      <c r="U45">
        <v>2.992</v>
      </c>
      <c r="V45">
        <v>-0.367721519</v>
      </c>
      <c r="W45">
        <v>-107.33113299999999</v>
      </c>
      <c r="X45">
        <v>223.53113300000001</v>
      </c>
      <c r="Y45">
        <v>75.668867050000003</v>
      </c>
      <c r="Z45">
        <v>-2.1783747020000002</v>
      </c>
      <c r="AA45">
        <v>14.5</v>
      </c>
      <c r="AB45">
        <v>0.41</v>
      </c>
      <c r="AC45">
        <v>13.3</v>
      </c>
      <c r="AD45">
        <v>627</v>
      </c>
      <c r="AE45">
        <v>10.970630079999999</v>
      </c>
      <c r="AF45">
        <v>11.09768609</v>
      </c>
      <c r="AG45" t="s">
        <v>68</v>
      </c>
      <c r="AH45">
        <v>0</v>
      </c>
      <c r="AI45">
        <v>0</v>
      </c>
      <c r="AJ45">
        <v>0</v>
      </c>
      <c r="AK45">
        <v>0</v>
      </c>
      <c r="AL45" t="s">
        <v>68</v>
      </c>
      <c r="AM45" t="s">
        <v>113</v>
      </c>
      <c r="AN45">
        <v>0.28449999999999998</v>
      </c>
      <c r="AO45">
        <v>0.73</v>
      </c>
      <c r="AP45">
        <v>90.15</v>
      </c>
      <c r="AQ45">
        <v>0.12</v>
      </c>
      <c r="AR45">
        <v>1000</v>
      </c>
      <c r="AS45">
        <v>1000</v>
      </c>
    </row>
    <row r="46" spans="1:45" x14ac:dyDescent="0.2">
      <c r="A46" t="s">
        <v>132</v>
      </c>
      <c r="B46" t="s">
        <v>44</v>
      </c>
      <c r="C46" t="s">
        <v>111</v>
      </c>
      <c r="D46" t="s">
        <v>122</v>
      </c>
      <c r="E46">
        <v>52.961970000000001</v>
      </c>
      <c r="F46">
        <v>0.92578629999999995</v>
      </c>
      <c r="G46" s="1">
        <v>37965</v>
      </c>
      <c r="H46" t="s">
        <v>129</v>
      </c>
      <c r="I46">
        <v>12.63287671</v>
      </c>
      <c r="J46" t="s">
        <v>68</v>
      </c>
      <c r="K46">
        <v>1.9187051429999999</v>
      </c>
      <c r="L46">
        <v>0.98967298500000001</v>
      </c>
      <c r="M46" t="s">
        <v>68</v>
      </c>
      <c r="N46">
        <v>2.56</v>
      </c>
      <c r="O46">
        <v>1.5</v>
      </c>
      <c r="P46">
        <v>0.22</v>
      </c>
      <c r="Q46">
        <v>1.83</v>
      </c>
      <c r="R46">
        <v>-1.33</v>
      </c>
      <c r="S46">
        <v>0.25</v>
      </c>
      <c r="T46">
        <v>3.16</v>
      </c>
      <c r="U46">
        <v>3.0649999999999999</v>
      </c>
      <c r="V46">
        <v>-0.39082278500000001</v>
      </c>
      <c r="W46">
        <v>-107.33113299999999</v>
      </c>
      <c r="X46">
        <v>230.83113299999999</v>
      </c>
      <c r="Y46">
        <v>75.668867050000003</v>
      </c>
      <c r="Z46">
        <v>-0.418705143</v>
      </c>
      <c r="AA46">
        <v>11.1</v>
      </c>
      <c r="AB46">
        <v>0.61</v>
      </c>
      <c r="AC46">
        <v>13.3</v>
      </c>
      <c r="AD46">
        <v>627</v>
      </c>
      <c r="AE46">
        <v>10.970630079999999</v>
      </c>
      <c r="AF46">
        <v>11.09768609</v>
      </c>
      <c r="AG46" t="s">
        <v>68</v>
      </c>
      <c r="AH46">
        <v>0</v>
      </c>
      <c r="AI46">
        <v>0</v>
      </c>
      <c r="AJ46">
        <v>0</v>
      </c>
      <c r="AK46">
        <v>0</v>
      </c>
      <c r="AL46" t="s">
        <v>68</v>
      </c>
      <c r="AM46" t="s">
        <v>113</v>
      </c>
      <c r="AN46">
        <v>0.16489999999999999</v>
      </c>
      <c r="AO46">
        <v>0.99</v>
      </c>
      <c r="AP46">
        <v>277.76499999999999</v>
      </c>
      <c r="AQ46">
        <v>0.12</v>
      </c>
      <c r="AR46">
        <v>3599</v>
      </c>
      <c r="AS46">
        <v>1000</v>
      </c>
    </row>
    <row r="47" spans="1:45" x14ac:dyDescent="0.2">
      <c r="A47" t="s">
        <v>133</v>
      </c>
      <c r="B47" t="s">
        <v>44</v>
      </c>
      <c r="C47" t="s">
        <v>111</v>
      </c>
      <c r="D47" t="s">
        <v>122</v>
      </c>
      <c r="E47">
        <v>52.961880000000001</v>
      </c>
      <c r="F47">
        <v>0.92590609999999995</v>
      </c>
      <c r="G47" s="1">
        <v>37965</v>
      </c>
      <c r="H47" t="s">
        <v>129</v>
      </c>
      <c r="I47">
        <v>12.63287671</v>
      </c>
      <c r="J47" t="s">
        <v>68</v>
      </c>
      <c r="K47">
        <v>1.067580239</v>
      </c>
      <c r="L47">
        <v>0.94029170900000003</v>
      </c>
      <c r="M47" t="s">
        <v>68</v>
      </c>
      <c r="N47">
        <v>2.56</v>
      </c>
      <c r="O47">
        <v>1.5</v>
      </c>
      <c r="P47">
        <v>0.22</v>
      </c>
      <c r="Q47">
        <v>1.83</v>
      </c>
      <c r="R47">
        <v>-1.33</v>
      </c>
      <c r="S47">
        <v>0.25</v>
      </c>
      <c r="T47">
        <v>3.16</v>
      </c>
      <c r="U47">
        <v>3.5110000000000001</v>
      </c>
      <c r="V47">
        <v>-0.53196202500000001</v>
      </c>
      <c r="W47">
        <v>-107.33113299999999</v>
      </c>
      <c r="X47">
        <v>275.43113299999999</v>
      </c>
      <c r="Y47">
        <v>75.668867050000003</v>
      </c>
      <c r="Z47">
        <v>0.43241976100000001</v>
      </c>
      <c r="AA47">
        <v>14.5</v>
      </c>
      <c r="AB47">
        <v>0.41</v>
      </c>
      <c r="AC47">
        <v>13.3</v>
      </c>
      <c r="AD47">
        <v>627</v>
      </c>
      <c r="AE47">
        <v>10.970630079999999</v>
      </c>
      <c r="AF47">
        <v>11.09768609</v>
      </c>
      <c r="AG47" t="s">
        <v>68</v>
      </c>
      <c r="AH47">
        <v>0</v>
      </c>
      <c r="AI47">
        <v>0</v>
      </c>
      <c r="AJ47">
        <v>0</v>
      </c>
      <c r="AK47">
        <v>0</v>
      </c>
      <c r="AL47" t="s">
        <v>68</v>
      </c>
      <c r="AM47" t="s">
        <v>113</v>
      </c>
      <c r="AN47">
        <v>0.14349999999999999</v>
      </c>
      <c r="AO47">
        <v>0.99</v>
      </c>
      <c r="AP47">
        <v>311.94</v>
      </c>
      <c r="AQ47">
        <v>0.12</v>
      </c>
      <c r="AR47">
        <v>1846</v>
      </c>
      <c r="AS47">
        <v>1000</v>
      </c>
    </row>
    <row r="48" spans="1:45" x14ac:dyDescent="0.2">
      <c r="A48" t="s">
        <v>134</v>
      </c>
      <c r="B48" t="s">
        <v>44</v>
      </c>
      <c r="C48" t="s">
        <v>111</v>
      </c>
      <c r="D48" t="s">
        <v>135</v>
      </c>
      <c r="E48">
        <v>52.954700000000003</v>
      </c>
      <c r="F48">
        <v>8.5212990000000002E-2</v>
      </c>
      <c r="G48" s="1">
        <v>37267</v>
      </c>
      <c r="H48" s="1">
        <v>42013</v>
      </c>
      <c r="I48">
        <v>12.84109589</v>
      </c>
      <c r="J48">
        <v>1.2410000000000001</v>
      </c>
      <c r="K48">
        <v>2.1625134039999998</v>
      </c>
      <c r="L48">
        <v>0.96739154999999999</v>
      </c>
      <c r="M48">
        <f t="shared" si="0"/>
        <v>-0.9215134039999997</v>
      </c>
      <c r="N48">
        <v>0.76</v>
      </c>
      <c r="O48">
        <v>1.35</v>
      </c>
      <c r="P48">
        <v>0.11</v>
      </c>
      <c r="Q48">
        <v>1.83</v>
      </c>
      <c r="R48">
        <v>-1.33</v>
      </c>
      <c r="S48">
        <v>0.25</v>
      </c>
      <c r="T48">
        <v>3.16</v>
      </c>
      <c r="U48">
        <v>3.6040000000000001</v>
      </c>
      <c r="V48">
        <v>-0.56139240499999998</v>
      </c>
      <c r="W48">
        <v>-107.33113299999999</v>
      </c>
      <c r="X48">
        <v>284.731133</v>
      </c>
      <c r="Y48">
        <v>75.668867050000003</v>
      </c>
      <c r="Z48">
        <v>-0.81251340400000005</v>
      </c>
      <c r="AA48">
        <v>13</v>
      </c>
      <c r="AB48" t="s">
        <v>68</v>
      </c>
      <c r="AC48">
        <v>13.2</v>
      </c>
      <c r="AD48">
        <v>620.5</v>
      </c>
      <c r="AE48">
        <v>11.651982500000001</v>
      </c>
      <c r="AF48">
        <v>6.0595390880000002</v>
      </c>
      <c r="AG48" t="s">
        <v>136</v>
      </c>
      <c r="AH48">
        <v>0</v>
      </c>
      <c r="AI48">
        <v>1</v>
      </c>
      <c r="AJ48">
        <v>0</v>
      </c>
      <c r="AK48">
        <v>0</v>
      </c>
      <c r="AL48" t="s">
        <v>54</v>
      </c>
      <c r="AM48" t="s">
        <v>113</v>
      </c>
      <c r="AN48">
        <v>9.3000000000000007</v>
      </c>
      <c r="AO48">
        <v>0.73</v>
      </c>
      <c r="AP48">
        <v>260.54000000000002</v>
      </c>
      <c r="AQ48">
        <v>0.04</v>
      </c>
      <c r="AR48">
        <v>1000</v>
      </c>
      <c r="AS48">
        <v>1000</v>
      </c>
    </row>
    <row r="49" spans="1:45" x14ac:dyDescent="0.2">
      <c r="A49" t="s">
        <v>137</v>
      </c>
      <c r="B49" t="s">
        <v>44</v>
      </c>
      <c r="C49" t="s">
        <v>111</v>
      </c>
      <c r="D49" t="s">
        <v>135</v>
      </c>
      <c r="E49">
        <v>52.962040000000002</v>
      </c>
      <c r="F49">
        <v>9.6295190000000003E-2</v>
      </c>
      <c r="G49" s="1">
        <v>37267</v>
      </c>
      <c r="H49" s="1">
        <v>42013</v>
      </c>
      <c r="I49">
        <v>12.84109589</v>
      </c>
      <c r="J49">
        <v>8.3584999999999994</v>
      </c>
      <c r="K49">
        <v>10.37237126</v>
      </c>
      <c r="L49">
        <v>0.98213419899999999</v>
      </c>
      <c r="M49">
        <f t="shared" si="0"/>
        <v>-2.0138712600000002</v>
      </c>
      <c r="N49">
        <v>0.76</v>
      </c>
      <c r="O49">
        <v>1.35</v>
      </c>
      <c r="P49">
        <v>0.11</v>
      </c>
      <c r="Q49">
        <v>1.83</v>
      </c>
      <c r="R49">
        <v>-1.33</v>
      </c>
      <c r="S49">
        <v>0.25</v>
      </c>
      <c r="T49">
        <v>3.16</v>
      </c>
      <c r="U49">
        <v>3.3</v>
      </c>
      <c r="V49">
        <v>-0.46518987299999998</v>
      </c>
      <c r="W49">
        <v>-107.33113299999999</v>
      </c>
      <c r="X49">
        <v>254.33113299999999</v>
      </c>
      <c r="Y49">
        <v>75.668867050000003</v>
      </c>
      <c r="Z49">
        <v>-9.0223712599999999</v>
      </c>
      <c r="AA49">
        <v>9</v>
      </c>
      <c r="AB49" t="s">
        <v>68</v>
      </c>
      <c r="AC49">
        <v>13.2</v>
      </c>
      <c r="AD49">
        <v>620.5</v>
      </c>
      <c r="AE49">
        <v>10.28715523</v>
      </c>
      <c r="AF49">
        <v>5.1349829519999997</v>
      </c>
      <c r="AG49" t="s">
        <v>136</v>
      </c>
      <c r="AH49">
        <v>0</v>
      </c>
      <c r="AI49">
        <v>1</v>
      </c>
      <c r="AJ49">
        <v>0</v>
      </c>
      <c r="AK49">
        <v>0</v>
      </c>
      <c r="AL49" t="s">
        <v>54</v>
      </c>
      <c r="AM49" t="s">
        <v>113</v>
      </c>
      <c r="AN49">
        <v>3.1259999999999999</v>
      </c>
      <c r="AO49">
        <v>0.95</v>
      </c>
      <c r="AP49">
        <v>64.667500000000004</v>
      </c>
      <c r="AQ49">
        <v>0.04</v>
      </c>
      <c r="AR49">
        <v>1000</v>
      </c>
      <c r="AS49">
        <v>1000</v>
      </c>
    </row>
    <row r="50" spans="1:45" x14ac:dyDescent="0.2">
      <c r="A50" t="s">
        <v>138</v>
      </c>
      <c r="B50" t="s">
        <v>44</v>
      </c>
      <c r="C50" t="s">
        <v>111</v>
      </c>
      <c r="D50" t="s">
        <v>135</v>
      </c>
      <c r="E50">
        <v>52.965949999999999</v>
      </c>
      <c r="F50">
        <v>0.1000693</v>
      </c>
      <c r="G50" s="1">
        <v>37267</v>
      </c>
      <c r="H50" s="1">
        <v>42013</v>
      </c>
      <c r="I50">
        <v>12.84109589</v>
      </c>
      <c r="J50">
        <v>7.4095000000000004</v>
      </c>
      <c r="K50">
        <v>5.7132739340000001</v>
      </c>
      <c r="L50">
        <v>0.97555711300000003</v>
      </c>
      <c r="M50">
        <f t="shared" si="0"/>
        <v>1.6962260660000004</v>
      </c>
      <c r="N50">
        <v>0.76</v>
      </c>
      <c r="O50">
        <v>1.35</v>
      </c>
      <c r="P50">
        <v>0.11</v>
      </c>
      <c r="Q50">
        <v>1.83</v>
      </c>
      <c r="R50">
        <v>-1.33</v>
      </c>
      <c r="S50">
        <v>0.25</v>
      </c>
      <c r="T50">
        <v>3.16</v>
      </c>
      <c r="U50">
        <v>3.3929999999999998</v>
      </c>
      <c r="V50">
        <v>-0.49462025300000001</v>
      </c>
      <c r="W50">
        <v>-107.33113299999999</v>
      </c>
      <c r="X50">
        <v>263.63113299999998</v>
      </c>
      <c r="Y50">
        <v>75.668867050000003</v>
      </c>
      <c r="Z50">
        <v>-4.3632739340000004</v>
      </c>
      <c r="AA50">
        <v>9.1999999999999993</v>
      </c>
      <c r="AB50" t="s">
        <v>68</v>
      </c>
      <c r="AC50">
        <v>13.2</v>
      </c>
      <c r="AD50">
        <v>620.5</v>
      </c>
      <c r="AE50">
        <v>10.28715523</v>
      </c>
      <c r="AF50">
        <v>5.1349829519999997</v>
      </c>
      <c r="AG50" t="s">
        <v>136</v>
      </c>
      <c r="AH50">
        <v>0</v>
      </c>
      <c r="AI50">
        <v>1</v>
      </c>
      <c r="AJ50">
        <v>0</v>
      </c>
      <c r="AK50">
        <v>0</v>
      </c>
      <c r="AL50" t="s">
        <v>54</v>
      </c>
      <c r="AM50" t="s">
        <v>113</v>
      </c>
      <c r="AN50">
        <v>-6.3799999999999996E-2</v>
      </c>
      <c r="AO50">
        <v>2.9000000000000001E-2</v>
      </c>
      <c r="AP50">
        <v>325.43666669999999</v>
      </c>
      <c r="AQ50">
        <v>0.04</v>
      </c>
      <c r="AR50">
        <v>1000</v>
      </c>
      <c r="AS50">
        <v>5100.8881929999998</v>
      </c>
    </row>
    <row r="51" spans="1:45" x14ac:dyDescent="0.2">
      <c r="A51" t="s">
        <v>139</v>
      </c>
      <c r="B51" t="s">
        <v>44</v>
      </c>
      <c r="C51" t="s">
        <v>111</v>
      </c>
      <c r="D51" t="s">
        <v>135</v>
      </c>
      <c r="E51">
        <v>52.97213</v>
      </c>
      <c r="F51">
        <v>0.1040391</v>
      </c>
      <c r="G51" s="1">
        <v>37267</v>
      </c>
      <c r="H51" s="1">
        <v>42013</v>
      </c>
      <c r="I51">
        <v>12.84109589</v>
      </c>
      <c r="J51" t="s">
        <v>68</v>
      </c>
      <c r="K51">
        <v>2.9728633289999999</v>
      </c>
      <c r="L51">
        <v>0.97341703800000001</v>
      </c>
      <c r="M51" t="s">
        <v>68</v>
      </c>
      <c r="N51">
        <v>0.76</v>
      </c>
      <c r="O51">
        <v>1.35</v>
      </c>
      <c r="P51">
        <v>0.11</v>
      </c>
      <c r="Q51">
        <v>1.83</v>
      </c>
      <c r="R51">
        <v>-1.33</v>
      </c>
      <c r="S51">
        <v>0.25</v>
      </c>
      <c r="T51">
        <v>3.16</v>
      </c>
      <c r="U51">
        <v>3.6880000000000002</v>
      </c>
      <c r="V51">
        <v>-0.58797468399999997</v>
      </c>
      <c r="W51">
        <v>-107.33113299999999</v>
      </c>
      <c r="X51">
        <v>293.13113299999998</v>
      </c>
      <c r="Y51">
        <v>75.668867050000003</v>
      </c>
      <c r="Z51">
        <v>-1.6228633290000001</v>
      </c>
      <c r="AA51">
        <v>12.5</v>
      </c>
      <c r="AB51" t="s">
        <v>68</v>
      </c>
      <c r="AC51">
        <v>13.2</v>
      </c>
      <c r="AD51">
        <v>620.5</v>
      </c>
      <c r="AE51">
        <v>10.28715523</v>
      </c>
      <c r="AF51">
        <v>5.1349829519999997</v>
      </c>
      <c r="AG51" t="s">
        <v>136</v>
      </c>
      <c r="AH51">
        <v>0</v>
      </c>
      <c r="AI51">
        <v>1</v>
      </c>
      <c r="AJ51">
        <v>0</v>
      </c>
      <c r="AK51">
        <v>0</v>
      </c>
      <c r="AL51" t="s">
        <v>54</v>
      </c>
      <c r="AM51" t="s">
        <v>113</v>
      </c>
      <c r="AN51">
        <v>9.5419999999999998</v>
      </c>
      <c r="AO51">
        <v>0.99</v>
      </c>
      <c r="AP51">
        <v>668.1925</v>
      </c>
      <c r="AQ51">
        <v>0.04</v>
      </c>
      <c r="AR51">
        <v>1000</v>
      </c>
      <c r="AS51">
        <v>1000</v>
      </c>
    </row>
    <row r="52" spans="1:45" x14ac:dyDescent="0.2">
      <c r="A52" t="s">
        <v>140</v>
      </c>
      <c r="B52" t="s">
        <v>44</v>
      </c>
      <c r="C52" t="s">
        <v>111</v>
      </c>
      <c r="D52" t="s">
        <v>135</v>
      </c>
      <c r="E52">
        <v>52.960929999999998</v>
      </c>
      <c r="F52">
        <v>9.9033570000000001E-2</v>
      </c>
      <c r="G52" s="1">
        <v>37267</v>
      </c>
      <c r="H52" s="1">
        <v>42013</v>
      </c>
      <c r="I52">
        <v>12.84109589</v>
      </c>
      <c r="J52" t="s">
        <v>68</v>
      </c>
      <c r="K52">
        <v>5.4232187720000002</v>
      </c>
      <c r="L52">
        <v>0.50366808600000001</v>
      </c>
      <c r="M52" t="s">
        <v>68</v>
      </c>
      <c r="N52">
        <v>0.76</v>
      </c>
      <c r="O52">
        <v>1.35</v>
      </c>
      <c r="P52">
        <v>0.11</v>
      </c>
      <c r="Q52">
        <v>1.83</v>
      </c>
      <c r="R52">
        <v>-1.33</v>
      </c>
      <c r="S52">
        <v>0.25</v>
      </c>
      <c r="T52">
        <v>3.16</v>
      </c>
      <c r="U52">
        <v>2.782</v>
      </c>
      <c r="V52">
        <v>-0.30126582299999999</v>
      </c>
      <c r="W52">
        <v>-107.33113299999999</v>
      </c>
      <c r="X52">
        <v>202.53113300000001</v>
      </c>
      <c r="Y52">
        <v>75.668867050000003</v>
      </c>
      <c r="Z52">
        <v>-4.0732187719999997</v>
      </c>
      <c r="AA52">
        <v>6.1</v>
      </c>
      <c r="AB52" t="s">
        <v>68</v>
      </c>
      <c r="AC52">
        <v>13.2</v>
      </c>
      <c r="AD52">
        <v>620.5</v>
      </c>
      <c r="AE52">
        <v>10.28715523</v>
      </c>
      <c r="AF52">
        <v>5.1349829519999997</v>
      </c>
      <c r="AG52" t="s">
        <v>136</v>
      </c>
      <c r="AH52">
        <v>0</v>
      </c>
      <c r="AI52">
        <v>1</v>
      </c>
      <c r="AJ52">
        <v>0</v>
      </c>
      <c r="AK52">
        <v>0</v>
      </c>
      <c r="AL52" t="s">
        <v>54</v>
      </c>
      <c r="AM52" t="s">
        <v>113</v>
      </c>
      <c r="AN52" t="s">
        <v>68</v>
      </c>
      <c r="AO52" t="s">
        <v>68</v>
      </c>
      <c r="AP52" t="s">
        <v>68</v>
      </c>
      <c r="AQ52">
        <v>0.04</v>
      </c>
      <c r="AR52">
        <v>1000</v>
      </c>
      <c r="AS52" t="s">
        <v>68</v>
      </c>
    </row>
    <row r="53" spans="1:45" x14ac:dyDescent="0.2">
      <c r="A53" t="s">
        <v>141</v>
      </c>
      <c r="B53" t="s">
        <v>44</v>
      </c>
      <c r="C53" t="s">
        <v>111</v>
      </c>
      <c r="D53" t="s">
        <v>135</v>
      </c>
      <c r="E53">
        <v>52.96519</v>
      </c>
      <c r="F53">
        <v>0.1031806</v>
      </c>
      <c r="G53" s="1">
        <v>37267</v>
      </c>
      <c r="H53" s="1">
        <v>42013</v>
      </c>
      <c r="I53">
        <v>12.84109589</v>
      </c>
      <c r="J53" t="s">
        <v>68</v>
      </c>
      <c r="K53">
        <v>9.1647759180000001</v>
      </c>
      <c r="L53">
        <v>0.97331130899999996</v>
      </c>
      <c r="M53" t="s">
        <v>68</v>
      </c>
      <c r="N53">
        <v>0.76</v>
      </c>
      <c r="O53">
        <v>1.35</v>
      </c>
      <c r="P53">
        <v>0.11</v>
      </c>
      <c r="Q53">
        <v>1.83</v>
      </c>
      <c r="R53">
        <v>-1.33</v>
      </c>
      <c r="S53">
        <v>0.25</v>
      </c>
      <c r="T53">
        <v>3.16</v>
      </c>
      <c r="U53">
        <v>2.8969999999999998</v>
      </c>
      <c r="V53">
        <v>-0.337658228</v>
      </c>
      <c r="W53">
        <v>-107.33113299999999</v>
      </c>
      <c r="X53">
        <v>214.03113300000001</v>
      </c>
      <c r="Y53">
        <v>75.668867050000003</v>
      </c>
      <c r="Z53">
        <v>-7.8147759179999996</v>
      </c>
      <c r="AA53">
        <v>6.3</v>
      </c>
      <c r="AB53" t="s">
        <v>68</v>
      </c>
      <c r="AC53">
        <v>13.2</v>
      </c>
      <c r="AD53">
        <v>620.5</v>
      </c>
      <c r="AE53">
        <v>10.28715523</v>
      </c>
      <c r="AF53">
        <v>5.1349829519999997</v>
      </c>
      <c r="AG53" t="s">
        <v>136</v>
      </c>
      <c r="AH53">
        <v>0</v>
      </c>
      <c r="AI53">
        <v>1</v>
      </c>
      <c r="AJ53">
        <v>0</v>
      </c>
      <c r="AK53">
        <v>0</v>
      </c>
      <c r="AL53" t="s">
        <v>54</v>
      </c>
      <c r="AM53" t="s">
        <v>113</v>
      </c>
      <c r="AN53" t="s">
        <v>68</v>
      </c>
      <c r="AO53" t="s">
        <v>68</v>
      </c>
      <c r="AP53" t="s">
        <v>68</v>
      </c>
      <c r="AQ53">
        <v>0.04</v>
      </c>
      <c r="AR53">
        <v>1000</v>
      </c>
      <c r="AS53" t="s">
        <v>68</v>
      </c>
    </row>
    <row r="54" spans="1:45" x14ac:dyDescent="0.2">
      <c r="A54" t="s">
        <v>142</v>
      </c>
      <c r="B54" t="s">
        <v>44</v>
      </c>
      <c r="C54" t="s">
        <v>143</v>
      </c>
      <c r="D54" t="s">
        <v>144</v>
      </c>
      <c r="E54">
        <v>45.315435999999998</v>
      </c>
      <c r="F54">
        <v>12.172147000000001</v>
      </c>
      <c r="G54" s="1">
        <v>35799</v>
      </c>
      <c r="H54" s="1">
        <v>40554</v>
      </c>
      <c r="I54">
        <v>13.59452055</v>
      </c>
      <c r="J54">
        <v>6</v>
      </c>
      <c r="K54">
        <v>2</v>
      </c>
      <c r="L54" t="s">
        <v>68</v>
      </c>
      <c r="M54">
        <f t="shared" si="0"/>
        <v>4</v>
      </c>
      <c r="N54">
        <v>1.24</v>
      </c>
      <c r="O54">
        <v>4.29</v>
      </c>
      <c r="P54">
        <v>-0.08</v>
      </c>
      <c r="Q54">
        <v>0.38</v>
      </c>
      <c r="R54">
        <v>-0.22</v>
      </c>
      <c r="S54">
        <v>0.08</v>
      </c>
      <c r="T54">
        <v>0.6</v>
      </c>
      <c r="U54">
        <v>0.23</v>
      </c>
      <c r="V54">
        <v>0.25</v>
      </c>
      <c r="W54">
        <v>-29.23930983</v>
      </c>
      <c r="X54">
        <v>14.23930983</v>
      </c>
      <c r="Y54">
        <v>8.7606901710000002</v>
      </c>
      <c r="Z54">
        <v>2.29</v>
      </c>
      <c r="AA54" t="s">
        <v>68</v>
      </c>
      <c r="AB54" t="s">
        <v>68</v>
      </c>
      <c r="AC54">
        <v>16</v>
      </c>
      <c r="AD54">
        <v>800</v>
      </c>
      <c r="AE54">
        <v>4.6244218950000002</v>
      </c>
      <c r="AF54">
        <v>2.4111536600000001</v>
      </c>
      <c r="AG54" t="s">
        <v>145</v>
      </c>
      <c r="AH54">
        <v>0</v>
      </c>
      <c r="AI54">
        <v>0</v>
      </c>
      <c r="AJ54">
        <v>1</v>
      </c>
      <c r="AK54">
        <v>0</v>
      </c>
      <c r="AL54" t="s">
        <v>48</v>
      </c>
      <c r="AM54" t="s">
        <v>146</v>
      </c>
      <c r="AN54">
        <v>-0.14560000000000001</v>
      </c>
      <c r="AO54">
        <v>0.59</v>
      </c>
      <c r="AP54">
        <v>60.612499999999997</v>
      </c>
      <c r="AQ54">
        <v>0.09</v>
      </c>
      <c r="AR54">
        <v>1000</v>
      </c>
      <c r="AS54">
        <v>416.29464289999999</v>
      </c>
    </row>
    <row r="55" spans="1:45" x14ac:dyDescent="0.2">
      <c r="A55" t="s">
        <v>147</v>
      </c>
      <c r="B55" t="s">
        <v>44</v>
      </c>
      <c r="C55" t="s">
        <v>143</v>
      </c>
      <c r="D55" t="s">
        <v>144</v>
      </c>
      <c r="E55">
        <v>45.216707999999997</v>
      </c>
      <c r="F55">
        <v>12.224144000000001</v>
      </c>
      <c r="G55" s="1">
        <v>34734</v>
      </c>
      <c r="H55" t="s">
        <v>149</v>
      </c>
      <c r="I55">
        <v>16.632876710000001</v>
      </c>
      <c r="J55">
        <v>8</v>
      </c>
      <c r="K55">
        <v>9</v>
      </c>
      <c r="L55" t="s">
        <v>68</v>
      </c>
      <c r="M55">
        <f t="shared" si="0"/>
        <v>-1</v>
      </c>
      <c r="N55">
        <v>1.24</v>
      </c>
      <c r="O55">
        <v>3.92</v>
      </c>
      <c r="P55">
        <v>-0.08</v>
      </c>
      <c r="Q55">
        <v>0.38</v>
      </c>
      <c r="R55">
        <v>-0.22</v>
      </c>
      <c r="S55">
        <v>0.08</v>
      </c>
      <c r="T55">
        <v>0.6</v>
      </c>
      <c r="U55">
        <v>0.35</v>
      </c>
      <c r="V55">
        <v>0.05</v>
      </c>
      <c r="W55">
        <v>-29.23930983</v>
      </c>
      <c r="X55">
        <v>26.23930983</v>
      </c>
      <c r="Y55">
        <v>8.7606901710000002</v>
      </c>
      <c r="Z55">
        <v>-5.08</v>
      </c>
      <c r="AA55" t="s">
        <v>68</v>
      </c>
      <c r="AB55" t="s">
        <v>68</v>
      </c>
      <c r="AC55">
        <v>16</v>
      </c>
      <c r="AD55">
        <v>800</v>
      </c>
      <c r="AE55">
        <v>6.8599644099999999</v>
      </c>
      <c r="AF55">
        <v>2.8318574650000001</v>
      </c>
      <c r="AG55" t="s">
        <v>148</v>
      </c>
      <c r="AH55">
        <v>0</v>
      </c>
      <c r="AI55">
        <v>1</v>
      </c>
      <c r="AJ55">
        <v>0</v>
      </c>
      <c r="AK55">
        <v>0</v>
      </c>
      <c r="AL55" t="s">
        <v>54</v>
      </c>
      <c r="AM55" t="s">
        <v>146</v>
      </c>
      <c r="AN55">
        <v>-0.28360000000000002</v>
      </c>
      <c r="AO55">
        <v>0.49</v>
      </c>
      <c r="AP55">
        <v>11.275</v>
      </c>
      <c r="AQ55">
        <v>0.39</v>
      </c>
      <c r="AR55">
        <v>1000</v>
      </c>
      <c r="AS55">
        <v>39.756699580000003</v>
      </c>
    </row>
    <row r="56" spans="1:45" x14ac:dyDescent="0.2">
      <c r="A56" t="s">
        <v>150</v>
      </c>
      <c r="B56" t="s">
        <v>44</v>
      </c>
      <c r="C56" t="s">
        <v>143</v>
      </c>
      <c r="D56" t="s">
        <v>144</v>
      </c>
      <c r="E56">
        <v>45.518521999999997</v>
      </c>
      <c r="F56">
        <v>12.383094</v>
      </c>
      <c r="G56" s="1">
        <v>34005</v>
      </c>
      <c r="H56" t="s">
        <v>152</v>
      </c>
      <c r="I56">
        <v>18.465753419999999</v>
      </c>
      <c r="J56">
        <v>6</v>
      </c>
      <c r="K56">
        <v>6</v>
      </c>
      <c r="L56" t="s">
        <v>68</v>
      </c>
      <c r="M56">
        <f t="shared" si="0"/>
        <v>0</v>
      </c>
      <c r="N56">
        <v>1.24</v>
      </c>
      <c r="O56">
        <v>4.43</v>
      </c>
      <c r="P56">
        <v>-0.08</v>
      </c>
      <c r="Q56">
        <v>0.38</v>
      </c>
      <c r="R56">
        <v>-0.22</v>
      </c>
      <c r="S56">
        <v>0.08</v>
      </c>
      <c r="T56">
        <v>0.6</v>
      </c>
      <c r="U56">
        <v>0.28000000000000003</v>
      </c>
      <c r="V56">
        <v>0.16666666699999999</v>
      </c>
      <c r="W56">
        <v>-29.23930983</v>
      </c>
      <c r="X56">
        <v>19.23930983</v>
      </c>
      <c r="Y56">
        <v>8.7606901710000002</v>
      </c>
      <c r="Z56">
        <v>-1.57</v>
      </c>
      <c r="AA56" t="s">
        <v>68</v>
      </c>
      <c r="AB56" t="s">
        <v>68</v>
      </c>
      <c r="AC56">
        <v>16</v>
      </c>
      <c r="AD56">
        <v>800</v>
      </c>
      <c r="AE56">
        <v>11.597153459999999</v>
      </c>
      <c r="AF56">
        <v>4.3115578829999999</v>
      </c>
      <c r="AG56" t="s">
        <v>151</v>
      </c>
      <c r="AH56">
        <v>0</v>
      </c>
      <c r="AI56">
        <v>0</v>
      </c>
      <c r="AJ56">
        <v>1</v>
      </c>
      <c r="AK56">
        <v>0</v>
      </c>
      <c r="AL56" t="s">
        <v>48</v>
      </c>
      <c r="AM56" t="s">
        <v>146</v>
      </c>
      <c r="AN56">
        <v>5.3499999999999999E-2</v>
      </c>
      <c r="AO56">
        <v>0.84</v>
      </c>
      <c r="AP56">
        <v>5.4349999999999996</v>
      </c>
      <c r="AQ56">
        <v>0.28999999999999998</v>
      </c>
      <c r="AR56">
        <v>1000</v>
      </c>
      <c r="AS56">
        <v>1000</v>
      </c>
    </row>
    <row r="57" spans="1:45" x14ac:dyDescent="0.2">
      <c r="A57" t="s">
        <v>153</v>
      </c>
      <c r="B57" t="s">
        <v>44</v>
      </c>
      <c r="C57" t="s">
        <v>143</v>
      </c>
      <c r="D57" t="s">
        <v>144</v>
      </c>
      <c r="E57">
        <v>45.503599999999999</v>
      </c>
      <c r="F57">
        <v>12.470753</v>
      </c>
      <c r="G57" t="s">
        <v>156</v>
      </c>
      <c r="H57" t="s">
        <v>149</v>
      </c>
      <c r="I57">
        <v>15.59452055</v>
      </c>
      <c r="J57">
        <v>3</v>
      </c>
      <c r="K57">
        <v>2</v>
      </c>
      <c r="L57" t="s">
        <v>68</v>
      </c>
      <c r="M57">
        <f t="shared" si="0"/>
        <v>1</v>
      </c>
      <c r="N57">
        <v>1.24</v>
      </c>
      <c r="O57">
        <v>3.89</v>
      </c>
      <c r="P57">
        <v>-0.08</v>
      </c>
      <c r="Q57">
        <v>0.38</v>
      </c>
      <c r="R57">
        <v>-0.22</v>
      </c>
      <c r="S57">
        <v>0.08</v>
      </c>
      <c r="T57">
        <v>0.6</v>
      </c>
      <c r="U57">
        <v>0.2</v>
      </c>
      <c r="V57">
        <v>0.3</v>
      </c>
      <c r="W57">
        <v>-29.23930983</v>
      </c>
      <c r="X57">
        <v>11.23930983</v>
      </c>
      <c r="Y57">
        <v>8.7606901710000002</v>
      </c>
      <c r="Z57">
        <v>1.89</v>
      </c>
      <c r="AA57">
        <v>55</v>
      </c>
      <c r="AB57">
        <v>0.95</v>
      </c>
      <c r="AC57">
        <v>16</v>
      </c>
      <c r="AD57">
        <v>800</v>
      </c>
      <c r="AE57">
        <v>12.22477651</v>
      </c>
      <c r="AF57">
        <v>2.617765012</v>
      </c>
      <c r="AG57" t="s">
        <v>154</v>
      </c>
      <c r="AH57">
        <v>1</v>
      </c>
      <c r="AI57">
        <v>1</v>
      </c>
      <c r="AJ57">
        <v>0</v>
      </c>
      <c r="AK57">
        <v>0</v>
      </c>
      <c r="AL57" t="s">
        <v>155</v>
      </c>
      <c r="AM57" t="s">
        <v>146</v>
      </c>
      <c r="AN57">
        <v>-0.22140000000000001</v>
      </c>
      <c r="AO57">
        <v>0.97</v>
      </c>
      <c r="AP57">
        <v>72.522499999999994</v>
      </c>
      <c r="AQ57">
        <v>0.28999999999999998</v>
      </c>
      <c r="AR57">
        <v>1000</v>
      </c>
      <c r="AS57">
        <v>327.56323400000002</v>
      </c>
    </row>
    <row r="58" spans="1:45" x14ac:dyDescent="0.2">
      <c r="A58" t="s">
        <v>157</v>
      </c>
      <c r="B58" t="s">
        <v>44</v>
      </c>
      <c r="C58" t="s">
        <v>143</v>
      </c>
      <c r="D58" t="s">
        <v>144</v>
      </c>
      <c r="E58">
        <v>45.268580999999998</v>
      </c>
      <c r="F58">
        <v>12.214031</v>
      </c>
      <c r="G58" t="s">
        <v>156</v>
      </c>
      <c r="H58" t="s">
        <v>149</v>
      </c>
      <c r="I58">
        <v>15.59452055</v>
      </c>
      <c r="J58">
        <v>4</v>
      </c>
      <c r="K58">
        <v>3</v>
      </c>
      <c r="L58" t="s">
        <v>68</v>
      </c>
      <c r="M58">
        <f t="shared" si="0"/>
        <v>1</v>
      </c>
      <c r="N58">
        <v>1.24</v>
      </c>
      <c r="O58">
        <v>3.89</v>
      </c>
      <c r="P58">
        <v>-0.08</v>
      </c>
      <c r="Q58">
        <v>0.38</v>
      </c>
      <c r="R58">
        <v>-0.22</v>
      </c>
      <c r="S58">
        <v>0.08</v>
      </c>
      <c r="T58">
        <v>0.6</v>
      </c>
      <c r="U58" t="s">
        <v>68</v>
      </c>
      <c r="V58" t="s">
        <v>68</v>
      </c>
      <c r="W58">
        <v>-29.23930983</v>
      </c>
      <c r="X58" t="s">
        <v>68</v>
      </c>
      <c r="Y58">
        <v>8.7606901710000002</v>
      </c>
      <c r="Z58">
        <v>0.89</v>
      </c>
      <c r="AA58" t="s">
        <v>68</v>
      </c>
      <c r="AB58" t="s">
        <v>68</v>
      </c>
      <c r="AC58">
        <v>16</v>
      </c>
      <c r="AD58">
        <v>800</v>
      </c>
      <c r="AE58">
        <v>8.0030254719999991</v>
      </c>
      <c r="AF58">
        <v>2.8092179220000002</v>
      </c>
      <c r="AG58" t="s">
        <v>158</v>
      </c>
      <c r="AH58">
        <v>0</v>
      </c>
      <c r="AI58">
        <v>1</v>
      </c>
      <c r="AJ58">
        <v>0</v>
      </c>
      <c r="AK58">
        <v>0</v>
      </c>
      <c r="AL58" t="s">
        <v>54</v>
      </c>
      <c r="AM58" t="s">
        <v>146</v>
      </c>
      <c r="AN58">
        <v>-0.50839999999999996</v>
      </c>
      <c r="AO58">
        <v>0.86</v>
      </c>
      <c r="AP58">
        <v>31.162500000000001</v>
      </c>
      <c r="AQ58">
        <v>0.25</v>
      </c>
      <c r="AR58">
        <v>1000</v>
      </c>
      <c r="AS58">
        <v>61.295239969999997</v>
      </c>
    </row>
    <row r="59" spans="1:45" x14ac:dyDescent="0.2">
      <c r="A59" t="s">
        <v>159</v>
      </c>
      <c r="B59" t="s">
        <v>44</v>
      </c>
      <c r="C59" t="s">
        <v>143</v>
      </c>
      <c r="D59" t="s">
        <v>144</v>
      </c>
      <c r="E59">
        <v>45.495508000000001</v>
      </c>
      <c r="F59">
        <v>12.409272</v>
      </c>
      <c r="G59" s="1">
        <v>34005</v>
      </c>
      <c r="H59" t="s">
        <v>152</v>
      </c>
      <c r="I59">
        <v>18.465753419999999</v>
      </c>
      <c r="J59">
        <v>4</v>
      </c>
      <c r="K59">
        <v>3</v>
      </c>
      <c r="L59" t="s">
        <v>68</v>
      </c>
      <c r="M59">
        <f t="shared" si="0"/>
        <v>1</v>
      </c>
      <c r="N59">
        <v>1.24</v>
      </c>
      <c r="O59">
        <v>4.43</v>
      </c>
      <c r="P59">
        <v>-0.08</v>
      </c>
      <c r="Q59">
        <v>0.38</v>
      </c>
      <c r="R59">
        <v>-0.22</v>
      </c>
      <c r="S59">
        <v>0.08</v>
      </c>
      <c r="T59">
        <v>0.6</v>
      </c>
      <c r="U59">
        <v>0.28999999999999998</v>
      </c>
      <c r="V59">
        <v>0.15</v>
      </c>
      <c r="W59">
        <v>-29.23930983</v>
      </c>
      <c r="X59">
        <v>20.23930983</v>
      </c>
      <c r="Y59">
        <v>8.7606901710000002</v>
      </c>
      <c r="Z59">
        <v>1.43</v>
      </c>
      <c r="AA59" t="s">
        <v>68</v>
      </c>
      <c r="AB59" t="s">
        <v>68</v>
      </c>
      <c r="AC59">
        <v>16</v>
      </c>
      <c r="AD59">
        <v>800</v>
      </c>
      <c r="AE59">
        <v>15.21990712</v>
      </c>
      <c r="AF59">
        <v>3.2544140669999999</v>
      </c>
      <c r="AG59" t="s">
        <v>160</v>
      </c>
      <c r="AH59">
        <v>0</v>
      </c>
      <c r="AI59">
        <v>0</v>
      </c>
      <c r="AJ59">
        <v>1</v>
      </c>
      <c r="AK59">
        <v>0</v>
      </c>
      <c r="AL59" t="s">
        <v>48</v>
      </c>
      <c r="AM59" t="s">
        <v>146</v>
      </c>
      <c r="AN59">
        <v>-0.20830000000000001</v>
      </c>
      <c r="AO59">
        <v>0.62</v>
      </c>
      <c r="AP59">
        <v>4.375</v>
      </c>
      <c r="AQ59">
        <v>0.25</v>
      </c>
      <c r="AR59">
        <v>1000</v>
      </c>
      <c r="AS59">
        <v>21.003360539999999</v>
      </c>
    </row>
    <row r="60" spans="1:45" x14ac:dyDescent="0.2">
      <c r="A60" t="s">
        <v>161</v>
      </c>
      <c r="B60" t="s">
        <v>44</v>
      </c>
      <c r="C60" t="s">
        <v>143</v>
      </c>
      <c r="D60" t="s">
        <v>144</v>
      </c>
      <c r="E60">
        <v>45.483232999999998</v>
      </c>
      <c r="F60">
        <v>12.459828</v>
      </c>
      <c r="G60" s="1">
        <v>34005</v>
      </c>
      <c r="H60" t="s">
        <v>152</v>
      </c>
      <c r="I60">
        <v>18.465753419999999</v>
      </c>
      <c r="J60">
        <v>3</v>
      </c>
      <c r="K60">
        <v>3</v>
      </c>
      <c r="L60" t="s">
        <v>68</v>
      </c>
      <c r="M60">
        <f t="shared" si="0"/>
        <v>0</v>
      </c>
      <c r="N60">
        <v>1.24</v>
      </c>
      <c r="O60">
        <v>4.43</v>
      </c>
      <c r="P60">
        <v>-0.08</v>
      </c>
      <c r="Q60">
        <v>0.38</v>
      </c>
      <c r="R60">
        <v>-0.22</v>
      </c>
      <c r="S60">
        <v>0.08</v>
      </c>
      <c r="T60">
        <v>0.6</v>
      </c>
      <c r="U60">
        <v>0.35</v>
      </c>
      <c r="V60">
        <v>0.05</v>
      </c>
      <c r="W60">
        <v>-29.23930983</v>
      </c>
      <c r="X60">
        <v>26.23930983</v>
      </c>
      <c r="Y60">
        <v>8.7606901710000002</v>
      </c>
      <c r="Z60">
        <v>1.43</v>
      </c>
      <c r="AA60">
        <v>34</v>
      </c>
      <c r="AB60">
        <v>0.75</v>
      </c>
      <c r="AC60">
        <v>16</v>
      </c>
      <c r="AD60">
        <v>800</v>
      </c>
      <c r="AE60">
        <v>7.4145338140000003</v>
      </c>
      <c r="AF60">
        <v>1.57693646</v>
      </c>
      <c r="AG60" t="s">
        <v>162</v>
      </c>
      <c r="AH60">
        <v>0</v>
      </c>
      <c r="AI60">
        <v>1</v>
      </c>
      <c r="AJ60">
        <v>0</v>
      </c>
      <c r="AK60">
        <v>0</v>
      </c>
      <c r="AL60" t="s">
        <v>54</v>
      </c>
      <c r="AM60" t="s">
        <v>146</v>
      </c>
      <c r="AN60">
        <v>-7.6600000000000001E-2</v>
      </c>
      <c r="AO60">
        <v>0.93</v>
      </c>
      <c r="AP60">
        <v>44.942500000000003</v>
      </c>
      <c r="AQ60">
        <v>0.34</v>
      </c>
      <c r="AR60">
        <v>1000</v>
      </c>
      <c r="AS60">
        <v>586.71671019999997</v>
      </c>
    </row>
    <row r="61" spans="1:45" x14ac:dyDescent="0.2">
      <c r="A61" t="s">
        <v>163</v>
      </c>
      <c r="B61" t="s">
        <v>44</v>
      </c>
      <c r="C61" t="s">
        <v>143</v>
      </c>
      <c r="D61" t="s">
        <v>144</v>
      </c>
      <c r="E61">
        <v>45.483291999999999</v>
      </c>
      <c r="F61">
        <v>12.459735999999999</v>
      </c>
      <c r="G61" s="1">
        <v>34005</v>
      </c>
      <c r="H61" t="s">
        <v>152</v>
      </c>
      <c r="I61">
        <v>18.465753419999999</v>
      </c>
      <c r="J61">
        <v>3</v>
      </c>
      <c r="K61">
        <v>3</v>
      </c>
      <c r="L61" t="s">
        <v>68</v>
      </c>
      <c r="M61">
        <f t="shared" si="0"/>
        <v>0</v>
      </c>
      <c r="N61">
        <v>1.24</v>
      </c>
      <c r="O61">
        <v>4.43</v>
      </c>
      <c r="P61">
        <v>-0.08</v>
      </c>
      <c r="Q61">
        <v>0.38</v>
      </c>
      <c r="R61">
        <v>-0.22</v>
      </c>
      <c r="S61">
        <v>0.08</v>
      </c>
      <c r="T61">
        <v>0.6</v>
      </c>
      <c r="U61">
        <v>0.28999999999999998</v>
      </c>
      <c r="V61">
        <v>0.15</v>
      </c>
      <c r="W61">
        <v>-29.23930983</v>
      </c>
      <c r="X61">
        <v>20.23930983</v>
      </c>
      <c r="Y61">
        <v>8.7606901710000002</v>
      </c>
      <c r="Z61">
        <v>1.43</v>
      </c>
      <c r="AA61">
        <v>34</v>
      </c>
      <c r="AB61">
        <v>0.95</v>
      </c>
      <c r="AC61">
        <v>16</v>
      </c>
      <c r="AD61">
        <v>800</v>
      </c>
      <c r="AE61">
        <v>7.4145338140000003</v>
      </c>
      <c r="AF61">
        <v>1.57693646</v>
      </c>
      <c r="AG61" t="s">
        <v>164</v>
      </c>
      <c r="AH61">
        <v>1</v>
      </c>
      <c r="AI61">
        <v>1</v>
      </c>
      <c r="AJ61">
        <v>0</v>
      </c>
      <c r="AK61">
        <v>0</v>
      </c>
      <c r="AL61" t="s">
        <v>155</v>
      </c>
      <c r="AM61" t="s">
        <v>146</v>
      </c>
      <c r="AN61">
        <v>-0.21199999999999999</v>
      </c>
      <c r="AO61">
        <v>0.68</v>
      </c>
      <c r="AP61">
        <v>38.76</v>
      </c>
      <c r="AQ61">
        <v>0.34</v>
      </c>
      <c r="AR61">
        <v>1000</v>
      </c>
      <c r="AS61">
        <v>182.83018870000001</v>
      </c>
    </row>
    <row r="62" spans="1:45" x14ac:dyDescent="0.2">
      <c r="A62" t="s">
        <v>165</v>
      </c>
      <c r="B62" t="s">
        <v>44</v>
      </c>
      <c r="C62" t="s">
        <v>143</v>
      </c>
      <c r="D62" t="s">
        <v>144</v>
      </c>
      <c r="E62">
        <v>45.347777999999998</v>
      </c>
      <c r="F62">
        <v>12.224136</v>
      </c>
      <c r="G62" s="1">
        <v>34005</v>
      </c>
      <c r="H62" t="s">
        <v>152</v>
      </c>
      <c r="I62">
        <v>18.465753419999999</v>
      </c>
      <c r="J62">
        <v>4</v>
      </c>
      <c r="K62">
        <v>3</v>
      </c>
      <c r="L62" t="s">
        <v>68</v>
      </c>
      <c r="M62">
        <f t="shared" si="0"/>
        <v>1</v>
      </c>
      <c r="N62">
        <v>1.24</v>
      </c>
      <c r="O62">
        <v>4.43</v>
      </c>
      <c r="P62">
        <v>-0.08</v>
      </c>
      <c r="Q62">
        <v>0.38</v>
      </c>
      <c r="R62">
        <v>-0.22</v>
      </c>
      <c r="S62">
        <v>0.08</v>
      </c>
      <c r="T62">
        <v>0.6</v>
      </c>
      <c r="U62">
        <v>0.39</v>
      </c>
      <c r="V62">
        <v>-1.6666667E-2</v>
      </c>
      <c r="W62">
        <v>-29.23930983</v>
      </c>
      <c r="X62">
        <v>30.23930983</v>
      </c>
      <c r="Y62">
        <v>8.7606901710000002</v>
      </c>
      <c r="Z62">
        <v>1.43</v>
      </c>
      <c r="AA62" t="s">
        <v>68</v>
      </c>
      <c r="AB62" t="s">
        <v>68</v>
      </c>
      <c r="AC62">
        <v>16</v>
      </c>
      <c r="AD62">
        <v>800</v>
      </c>
      <c r="AE62">
        <v>7.2191636160000003</v>
      </c>
      <c r="AF62">
        <v>2.1339463940000001</v>
      </c>
      <c r="AG62" t="s">
        <v>166</v>
      </c>
      <c r="AH62">
        <v>0</v>
      </c>
      <c r="AI62">
        <v>1</v>
      </c>
      <c r="AJ62">
        <v>0</v>
      </c>
      <c r="AK62">
        <v>0</v>
      </c>
      <c r="AL62" t="s">
        <v>54</v>
      </c>
      <c r="AM62" t="s">
        <v>146</v>
      </c>
      <c r="AN62">
        <v>-0.70099999999999996</v>
      </c>
      <c r="AO62">
        <v>0.5</v>
      </c>
      <c r="AP62">
        <v>20.92</v>
      </c>
      <c r="AQ62">
        <v>0.39</v>
      </c>
      <c r="AR62">
        <v>1000</v>
      </c>
      <c r="AS62">
        <v>29.843081309999999</v>
      </c>
    </row>
    <row r="63" spans="1:45" x14ac:dyDescent="0.2">
      <c r="A63" t="s">
        <v>167</v>
      </c>
      <c r="B63" t="s">
        <v>168</v>
      </c>
      <c r="C63" t="s">
        <v>169</v>
      </c>
      <c r="D63" t="s">
        <v>170</v>
      </c>
      <c r="E63">
        <v>30.100249999999999</v>
      </c>
      <c r="F63">
        <v>-89.791730000000001</v>
      </c>
      <c r="G63" t="s">
        <v>172</v>
      </c>
      <c r="H63" s="1">
        <v>44138</v>
      </c>
      <c r="I63">
        <v>11.31147541</v>
      </c>
      <c r="J63">
        <v>9.6</v>
      </c>
      <c r="K63">
        <v>4.5999999999999996</v>
      </c>
      <c r="L63" t="s">
        <v>68</v>
      </c>
      <c r="M63">
        <f t="shared" si="0"/>
        <v>5</v>
      </c>
      <c r="N63">
        <v>9.1300000000000008</v>
      </c>
      <c r="O63" t="s">
        <v>68</v>
      </c>
      <c r="P63">
        <v>0.85</v>
      </c>
      <c r="Q63">
        <v>0.57983200000000001</v>
      </c>
      <c r="R63">
        <v>-0.29332000000000003</v>
      </c>
      <c r="S63">
        <v>0.17983199999999999</v>
      </c>
      <c r="T63">
        <v>0.87315200000000004</v>
      </c>
      <c r="U63">
        <v>0.10668</v>
      </c>
      <c r="V63">
        <v>0.54188961400000002</v>
      </c>
      <c r="W63">
        <v>-46.874154799999999</v>
      </c>
      <c r="X63">
        <v>-0.441045197</v>
      </c>
      <c r="Y63">
        <v>11.109045200000001</v>
      </c>
      <c r="Z63" t="s">
        <v>68</v>
      </c>
      <c r="AA63">
        <v>13.66</v>
      </c>
      <c r="AB63">
        <v>0.22850000000000001</v>
      </c>
      <c r="AC63">
        <v>25.11</v>
      </c>
      <c r="AD63">
        <v>1441</v>
      </c>
      <c r="AE63">
        <v>4.0281200259999999</v>
      </c>
      <c r="AF63">
        <v>2.5889183660000001</v>
      </c>
      <c r="AG63" t="s">
        <v>171</v>
      </c>
      <c r="AH63">
        <v>1</v>
      </c>
      <c r="AI63">
        <v>0</v>
      </c>
      <c r="AJ63">
        <v>0</v>
      </c>
      <c r="AK63">
        <v>0</v>
      </c>
      <c r="AL63" t="s">
        <v>155</v>
      </c>
      <c r="AM63" t="s">
        <v>49</v>
      </c>
      <c r="AN63">
        <v>8.5000000000000006E-2</v>
      </c>
      <c r="AO63">
        <v>0.92</v>
      </c>
      <c r="AP63">
        <v>10.08</v>
      </c>
      <c r="AQ63">
        <v>0.28000000000000003</v>
      </c>
      <c r="AR63">
        <v>1000</v>
      </c>
      <c r="AS63">
        <v>1000</v>
      </c>
    </row>
    <row r="64" spans="1:45" x14ac:dyDescent="0.2">
      <c r="A64" t="s">
        <v>173</v>
      </c>
      <c r="B64" t="s">
        <v>168</v>
      </c>
      <c r="C64" t="s">
        <v>169</v>
      </c>
      <c r="D64" t="s">
        <v>170</v>
      </c>
      <c r="E64">
        <v>30.09937</v>
      </c>
      <c r="F64">
        <v>-89.252750000000006</v>
      </c>
      <c r="G64" t="s">
        <v>175</v>
      </c>
      <c r="H64" t="s">
        <v>176</v>
      </c>
      <c r="I64">
        <v>11.41803279</v>
      </c>
      <c r="J64">
        <v>13</v>
      </c>
      <c r="K64">
        <v>3.1</v>
      </c>
      <c r="L64" t="s">
        <v>68</v>
      </c>
      <c r="M64">
        <f t="shared" si="0"/>
        <v>9.9</v>
      </c>
      <c r="N64">
        <v>9.1300000000000008</v>
      </c>
      <c r="O64" t="s">
        <v>68</v>
      </c>
      <c r="P64">
        <v>0.85</v>
      </c>
      <c r="Q64">
        <v>0.54935199999999995</v>
      </c>
      <c r="R64">
        <v>-0.14091999999999999</v>
      </c>
      <c r="S64">
        <v>0.14935200000000001</v>
      </c>
      <c r="T64">
        <v>0.690272</v>
      </c>
      <c r="U64">
        <v>0.25907999999999998</v>
      </c>
      <c r="V64">
        <v>0.42051828800000002</v>
      </c>
      <c r="W64">
        <v>-35.827162430000001</v>
      </c>
      <c r="X64">
        <v>6.799962431</v>
      </c>
      <c r="Y64">
        <v>19.10803757</v>
      </c>
      <c r="Z64" t="s">
        <v>68</v>
      </c>
      <c r="AA64">
        <v>7.95</v>
      </c>
      <c r="AB64">
        <v>0.68500000000000005</v>
      </c>
      <c r="AC64">
        <v>25.11</v>
      </c>
      <c r="AD64">
        <v>1441</v>
      </c>
      <c r="AE64">
        <v>9.6457461910000006</v>
      </c>
      <c r="AF64">
        <v>2.364109123</v>
      </c>
      <c r="AG64" t="s">
        <v>174</v>
      </c>
      <c r="AH64">
        <v>1</v>
      </c>
      <c r="AI64">
        <v>0</v>
      </c>
      <c r="AJ64">
        <v>0</v>
      </c>
      <c r="AK64">
        <v>0</v>
      </c>
      <c r="AL64" t="s">
        <v>155</v>
      </c>
      <c r="AM64" t="s">
        <v>49</v>
      </c>
      <c r="AN64">
        <v>-0.60960000000000003</v>
      </c>
      <c r="AO64">
        <v>0.95</v>
      </c>
      <c r="AP64">
        <v>30.82</v>
      </c>
      <c r="AQ64">
        <v>0.26</v>
      </c>
      <c r="AR64">
        <v>11</v>
      </c>
      <c r="AS64">
        <v>50.557742779999998</v>
      </c>
    </row>
    <row r="65" spans="1:45" x14ac:dyDescent="0.2">
      <c r="A65" t="s">
        <v>177</v>
      </c>
      <c r="B65" t="s">
        <v>168</v>
      </c>
      <c r="C65" t="s">
        <v>169</v>
      </c>
      <c r="D65" t="s">
        <v>170</v>
      </c>
      <c r="E65">
        <v>29.95506</v>
      </c>
      <c r="F65">
        <v>-89.41592</v>
      </c>
      <c r="G65" t="s">
        <v>178</v>
      </c>
      <c r="H65" t="s">
        <v>179</v>
      </c>
      <c r="I65">
        <v>10.5</v>
      </c>
      <c r="J65">
        <v>8</v>
      </c>
      <c r="K65">
        <v>7.7</v>
      </c>
      <c r="L65" t="s">
        <v>68</v>
      </c>
      <c r="M65">
        <f t="shared" si="0"/>
        <v>0.29999999999999982</v>
      </c>
      <c r="N65">
        <v>9.1300000000000008</v>
      </c>
      <c r="O65">
        <v>13.97</v>
      </c>
      <c r="P65">
        <v>0.85</v>
      </c>
      <c r="Q65">
        <v>0.54935199999999995</v>
      </c>
      <c r="R65">
        <v>-0.18359200000000001</v>
      </c>
      <c r="S65">
        <v>0.14935200000000001</v>
      </c>
      <c r="T65">
        <v>0.73294400000000004</v>
      </c>
      <c r="U65">
        <v>0.21640799999999999</v>
      </c>
      <c r="V65">
        <v>0.45425571399999998</v>
      </c>
      <c r="W65">
        <v>-38.64661203</v>
      </c>
      <c r="X65">
        <v>5.3522120329999998</v>
      </c>
      <c r="Y65">
        <v>16.288587969999998</v>
      </c>
      <c r="Z65">
        <v>6.27</v>
      </c>
      <c r="AA65">
        <v>24.08</v>
      </c>
      <c r="AB65">
        <v>0.28000000000000003</v>
      </c>
      <c r="AC65">
        <v>25.11</v>
      </c>
      <c r="AD65">
        <v>1441</v>
      </c>
      <c r="AE65">
        <v>9.6998012459999998</v>
      </c>
      <c r="AF65">
        <v>2.8828264269999999</v>
      </c>
      <c r="AG65" t="s">
        <v>174</v>
      </c>
      <c r="AH65">
        <v>1</v>
      </c>
      <c r="AI65">
        <v>0</v>
      </c>
      <c r="AJ65">
        <v>0</v>
      </c>
      <c r="AK65">
        <v>0</v>
      </c>
      <c r="AL65" t="s">
        <v>155</v>
      </c>
      <c r="AM65" t="s">
        <v>49</v>
      </c>
      <c r="AN65">
        <v>-0.68700000000000006</v>
      </c>
      <c r="AO65">
        <v>0.84</v>
      </c>
      <c r="AP65">
        <v>134.755</v>
      </c>
      <c r="AQ65">
        <v>0.01</v>
      </c>
      <c r="AR65">
        <v>37</v>
      </c>
      <c r="AS65">
        <v>196.14992720000001</v>
      </c>
    </row>
    <row r="66" spans="1:45" x14ac:dyDescent="0.2">
      <c r="A66" t="s">
        <v>180</v>
      </c>
      <c r="B66" t="s">
        <v>168</v>
      </c>
      <c r="C66" t="s">
        <v>169</v>
      </c>
      <c r="D66" t="s">
        <v>170</v>
      </c>
      <c r="E66">
        <v>29.476050000000001</v>
      </c>
      <c r="F66">
        <v>-89.635480000000001</v>
      </c>
      <c r="G66" t="s">
        <v>181</v>
      </c>
      <c r="H66" t="s">
        <v>182</v>
      </c>
      <c r="I66">
        <v>12.01643836</v>
      </c>
      <c r="J66">
        <v>15.3</v>
      </c>
      <c r="K66">
        <v>3.4</v>
      </c>
      <c r="L66" t="s">
        <v>68</v>
      </c>
      <c r="M66">
        <f t="shared" si="0"/>
        <v>11.9</v>
      </c>
      <c r="N66">
        <v>9.1300000000000008</v>
      </c>
      <c r="O66">
        <v>13.97</v>
      </c>
      <c r="P66">
        <v>0.85</v>
      </c>
      <c r="Q66">
        <v>0.52496799999999999</v>
      </c>
      <c r="R66">
        <v>-0.14091999999999999</v>
      </c>
      <c r="S66">
        <v>0.124968</v>
      </c>
      <c r="T66">
        <v>0.66588800000000004</v>
      </c>
      <c r="U66">
        <v>0.25907999999999998</v>
      </c>
      <c r="V66">
        <v>0.39929838099999998</v>
      </c>
      <c r="W66">
        <v>-34.136710630000003</v>
      </c>
      <c r="X66">
        <v>7.547910634</v>
      </c>
      <c r="Y66">
        <v>18.360089370000001</v>
      </c>
      <c r="Z66">
        <v>10.57</v>
      </c>
      <c r="AA66">
        <v>17.07</v>
      </c>
      <c r="AB66">
        <v>0.47499999999999998</v>
      </c>
      <c r="AC66">
        <v>25.11</v>
      </c>
      <c r="AD66">
        <v>1441</v>
      </c>
      <c r="AE66">
        <v>8.9804930239999994</v>
      </c>
      <c r="AF66">
        <v>5.8888359780000004</v>
      </c>
      <c r="AG66" t="s">
        <v>171</v>
      </c>
      <c r="AH66">
        <v>1</v>
      </c>
      <c r="AI66">
        <v>0</v>
      </c>
      <c r="AJ66">
        <v>0</v>
      </c>
      <c r="AK66">
        <v>0</v>
      </c>
      <c r="AL66" t="s">
        <v>155</v>
      </c>
      <c r="AM66" t="s">
        <v>49</v>
      </c>
      <c r="AN66">
        <v>-0.40400000000000003</v>
      </c>
      <c r="AO66">
        <v>0.86</v>
      </c>
      <c r="AP66">
        <v>11.11</v>
      </c>
      <c r="AQ66">
        <v>0.35</v>
      </c>
      <c r="AR66">
        <v>13</v>
      </c>
      <c r="AS66">
        <v>27.5</v>
      </c>
    </row>
    <row r="67" spans="1:45" x14ac:dyDescent="0.2">
      <c r="A67" t="s">
        <v>183</v>
      </c>
      <c r="B67" t="s">
        <v>168</v>
      </c>
      <c r="C67" t="s">
        <v>169</v>
      </c>
      <c r="D67" t="s">
        <v>170</v>
      </c>
      <c r="E67">
        <v>29.692519999999998</v>
      </c>
      <c r="F67">
        <v>-89.88552</v>
      </c>
      <c r="G67" t="s">
        <v>184</v>
      </c>
      <c r="H67" t="s">
        <v>185</v>
      </c>
      <c r="I67">
        <v>11.005479449999999</v>
      </c>
      <c r="J67">
        <v>3.4</v>
      </c>
      <c r="K67">
        <v>-2.6</v>
      </c>
      <c r="L67" t="s">
        <v>68</v>
      </c>
      <c r="M67">
        <f t="shared" ref="M67:M130" si="1">+J67-K67</f>
        <v>6</v>
      </c>
      <c r="N67">
        <v>9.1300000000000008</v>
      </c>
      <c r="O67">
        <v>14.56</v>
      </c>
      <c r="P67">
        <v>0.85</v>
      </c>
      <c r="Q67">
        <v>0.56640800000000002</v>
      </c>
      <c r="R67">
        <v>-1.7767999999999999E-2</v>
      </c>
      <c r="S67">
        <v>0.21640799999999999</v>
      </c>
      <c r="T67">
        <v>0.58417600000000003</v>
      </c>
      <c r="U67">
        <v>0.33223200000000003</v>
      </c>
      <c r="V67">
        <v>0.40086549300000002</v>
      </c>
      <c r="W67">
        <v>-27.983025810000001</v>
      </c>
      <c r="X67">
        <v>4.5654258050000003</v>
      </c>
      <c r="Y67">
        <v>28.657774190000001</v>
      </c>
      <c r="Z67">
        <v>17.16</v>
      </c>
      <c r="AA67">
        <v>27.25</v>
      </c>
      <c r="AB67">
        <v>0.28999999999999998</v>
      </c>
      <c r="AC67">
        <v>26.7</v>
      </c>
      <c r="AD67">
        <v>1508</v>
      </c>
      <c r="AE67">
        <v>3.7047367179999999</v>
      </c>
      <c r="AF67">
        <v>2.444031222</v>
      </c>
      <c r="AG67" t="s">
        <v>171</v>
      </c>
      <c r="AH67">
        <v>1</v>
      </c>
      <c r="AI67">
        <v>0</v>
      </c>
      <c r="AJ67">
        <v>0</v>
      </c>
      <c r="AK67">
        <v>0</v>
      </c>
      <c r="AL67" t="s">
        <v>155</v>
      </c>
      <c r="AM67" t="s">
        <v>49</v>
      </c>
      <c r="AN67">
        <v>-0.40439999999999998</v>
      </c>
      <c r="AO67">
        <v>0.86</v>
      </c>
      <c r="AP67">
        <v>16.414999999999999</v>
      </c>
      <c r="AQ67">
        <v>0.79</v>
      </c>
      <c r="AR67">
        <v>4</v>
      </c>
      <c r="AS67">
        <v>40.590999009999997</v>
      </c>
    </row>
    <row r="68" spans="1:45" x14ac:dyDescent="0.2">
      <c r="A68" t="s">
        <v>186</v>
      </c>
      <c r="B68" t="s">
        <v>168</v>
      </c>
      <c r="C68" t="s">
        <v>169</v>
      </c>
      <c r="D68" t="s">
        <v>170</v>
      </c>
      <c r="E68">
        <v>29.664760000000001</v>
      </c>
      <c r="F68">
        <v>-89.885480000000001</v>
      </c>
      <c r="G68" t="s">
        <v>184</v>
      </c>
      <c r="H68" t="s">
        <v>185</v>
      </c>
      <c r="I68">
        <v>11.005479449999999</v>
      </c>
      <c r="J68">
        <v>10.4</v>
      </c>
      <c r="K68">
        <v>0.5</v>
      </c>
      <c r="L68" t="s">
        <v>68</v>
      </c>
      <c r="M68">
        <f t="shared" si="1"/>
        <v>9.9</v>
      </c>
      <c r="N68">
        <v>9.1300000000000008</v>
      </c>
      <c r="O68">
        <v>13.71</v>
      </c>
      <c r="P68">
        <v>0.85</v>
      </c>
      <c r="Q68">
        <v>0.55726399999999998</v>
      </c>
      <c r="R68">
        <v>-0.118352</v>
      </c>
      <c r="S68">
        <v>0.207264</v>
      </c>
      <c r="T68">
        <v>0.67561599999999999</v>
      </c>
      <c r="U68">
        <v>0.23164799999999999</v>
      </c>
      <c r="V68">
        <v>0.48195424599999998</v>
      </c>
      <c r="W68">
        <v>-34.818422990000002</v>
      </c>
      <c r="X68">
        <v>2.2568229930000001</v>
      </c>
      <c r="Y68">
        <v>20.90797701</v>
      </c>
      <c r="Z68">
        <v>13.21</v>
      </c>
      <c r="AA68">
        <v>53.4</v>
      </c>
      <c r="AB68">
        <v>0.152</v>
      </c>
      <c r="AC68">
        <v>26.7</v>
      </c>
      <c r="AD68">
        <v>1508</v>
      </c>
      <c r="AE68">
        <v>3.7047367179999999</v>
      </c>
      <c r="AF68">
        <v>2.444031222</v>
      </c>
      <c r="AG68" t="s">
        <v>171</v>
      </c>
      <c r="AH68">
        <v>1</v>
      </c>
      <c r="AI68">
        <v>0</v>
      </c>
      <c r="AJ68">
        <v>0</v>
      </c>
      <c r="AK68">
        <v>0</v>
      </c>
      <c r="AL68" t="s">
        <v>155</v>
      </c>
      <c r="AM68" t="s">
        <v>49</v>
      </c>
      <c r="AN68">
        <v>-0.35599999999999998</v>
      </c>
      <c r="AO68">
        <v>0.94</v>
      </c>
      <c r="AP68">
        <v>8.2750000000000004</v>
      </c>
      <c r="AQ68">
        <v>0.38</v>
      </c>
      <c r="AR68">
        <v>3</v>
      </c>
      <c r="AS68">
        <v>23.24438202</v>
      </c>
    </row>
    <row r="69" spans="1:45" x14ac:dyDescent="0.2">
      <c r="A69" t="s">
        <v>187</v>
      </c>
      <c r="B69" t="s">
        <v>168</v>
      </c>
      <c r="C69" t="s">
        <v>169</v>
      </c>
      <c r="D69" t="s">
        <v>170</v>
      </c>
      <c r="E69">
        <v>29.686540000000001</v>
      </c>
      <c r="F69">
        <v>-89.760480000000001</v>
      </c>
      <c r="G69" t="s">
        <v>188</v>
      </c>
      <c r="H69" s="1">
        <v>44138</v>
      </c>
      <c r="I69">
        <v>12.87431694</v>
      </c>
      <c r="J69">
        <v>5.5</v>
      </c>
      <c r="K69">
        <v>-0.4</v>
      </c>
      <c r="L69" t="s">
        <v>68</v>
      </c>
      <c r="M69">
        <f t="shared" si="1"/>
        <v>5.9</v>
      </c>
      <c r="N69">
        <v>9.1300000000000008</v>
      </c>
      <c r="O69">
        <v>13.97</v>
      </c>
      <c r="P69">
        <v>0.85</v>
      </c>
      <c r="Q69">
        <v>0.53288000000000002</v>
      </c>
      <c r="R69">
        <v>-0.100064</v>
      </c>
      <c r="S69">
        <v>0.18287999999999999</v>
      </c>
      <c r="T69">
        <v>0.63294399999999995</v>
      </c>
      <c r="U69">
        <v>0.24993599999999999</v>
      </c>
      <c r="V69">
        <v>0.44702848899999997</v>
      </c>
      <c r="W69">
        <v>-31.751765049999999</v>
      </c>
      <c r="X69">
        <v>3.4573650470000001</v>
      </c>
      <c r="Y69">
        <v>21.536234950000001</v>
      </c>
      <c r="Z69">
        <v>14.37</v>
      </c>
      <c r="AA69">
        <v>14.234999999999999</v>
      </c>
      <c r="AB69">
        <v>0.373</v>
      </c>
      <c r="AC69">
        <v>26.7</v>
      </c>
      <c r="AD69">
        <v>1508</v>
      </c>
      <c r="AE69">
        <v>3.0970700999999998</v>
      </c>
      <c r="AF69">
        <v>1.719708274</v>
      </c>
      <c r="AG69" t="s">
        <v>171</v>
      </c>
      <c r="AH69">
        <v>1</v>
      </c>
      <c r="AI69">
        <v>0</v>
      </c>
      <c r="AJ69">
        <v>0</v>
      </c>
      <c r="AK69">
        <v>0</v>
      </c>
      <c r="AL69" t="s">
        <v>155</v>
      </c>
      <c r="AM69" t="s">
        <v>49</v>
      </c>
      <c r="AN69">
        <v>-0.19969999999999999</v>
      </c>
      <c r="AO69">
        <v>0.7</v>
      </c>
      <c r="AP69">
        <v>19.54</v>
      </c>
      <c r="AQ69">
        <v>0.55000000000000004</v>
      </c>
      <c r="AR69">
        <v>4</v>
      </c>
      <c r="AS69">
        <v>97.846770160000005</v>
      </c>
    </row>
    <row r="70" spans="1:45" x14ac:dyDescent="0.2">
      <c r="A70" t="s">
        <v>189</v>
      </c>
      <c r="B70" t="s">
        <v>168</v>
      </c>
      <c r="C70" t="s">
        <v>169</v>
      </c>
      <c r="D70" t="s">
        <v>170</v>
      </c>
      <c r="E70">
        <v>29.621220000000001</v>
      </c>
      <c r="F70">
        <v>-89.791730000000001</v>
      </c>
      <c r="G70" t="s">
        <v>188</v>
      </c>
      <c r="H70" s="1">
        <v>44077</v>
      </c>
      <c r="I70">
        <v>12.868852459999999</v>
      </c>
      <c r="J70">
        <v>12.2</v>
      </c>
      <c r="K70">
        <v>3.5</v>
      </c>
      <c r="L70" t="s">
        <v>68</v>
      </c>
      <c r="M70">
        <f t="shared" si="1"/>
        <v>8.6999999999999993</v>
      </c>
      <c r="N70">
        <v>9.1300000000000008</v>
      </c>
      <c r="O70">
        <v>13.97</v>
      </c>
      <c r="P70">
        <v>0.85</v>
      </c>
      <c r="Q70">
        <v>0.51459200000000005</v>
      </c>
      <c r="R70">
        <v>-5.4344000000000003E-2</v>
      </c>
      <c r="S70">
        <v>0.16459199999999999</v>
      </c>
      <c r="T70">
        <v>0.568936</v>
      </c>
      <c r="U70">
        <v>0.29565599999999997</v>
      </c>
      <c r="V70">
        <v>0.38481657000000002</v>
      </c>
      <c r="W70">
        <v>-26.740513409999998</v>
      </c>
      <c r="X70">
        <v>4.8469134120000001</v>
      </c>
      <c r="Y70">
        <v>24.718686590000001</v>
      </c>
      <c r="Z70">
        <v>10.47</v>
      </c>
      <c r="AA70">
        <v>26.05</v>
      </c>
      <c r="AB70">
        <v>0.41799999999999998</v>
      </c>
      <c r="AC70">
        <v>26.7</v>
      </c>
      <c r="AD70">
        <v>1508</v>
      </c>
      <c r="AE70">
        <v>5.8805280240000002</v>
      </c>
      <c r="AF70">
        <v>4.7376252320000001</v>
      </c>
      <c r="AG70" t="s">
        <v>171</v>
      </c>
      <c r="AH70">
        <v>1</v>
      </c>
      <c r="AI70">
        <v>0</v>
      </c>
      <c r="AJ70">
        <v>0</v>
      </c>
      <c r="AK70">
        <v>0</v>
      </c>
      <c r="AL70" t="s">
        <v>155</v>
      </c>
      <c r="AM70" t="s">
        <v>49</v>
      </c>
      <c r="AN70">
        <v>-1.3299999999999999E-2</v>
      </c>
      <c r="AO70">
        <v>3.5999999999999997E-2</v>
      </c>
      <c r="AP70">
        <v>28.49</v>
      </c>
      <c r="AQ70">
        <v>0.18</v>
      </c>
      <c r="AR70">
        <v>9</v>
      </c>
      <c r="AS70">
        <v>2142.1052629999999</v>
      </c>
    </row>
    <row r="71" spans="1:45" x14ac:dyDescent="0.2">
      <c r="A71" t="s">
        <v>190</v>
      </c>
      <c r="B71" t="s">
        <v>168</v>
      </c>
      <c r="C71" t="s">
        <v>169</v>
      </c>
      <c r="D71" t="s">
        <v>170</v>
      </c>
      <c r="E71">
        <v>29.664760000000001</v>
      </c>
      <c r="F71">
        <v>-89.604219999999998</v>
      </c>
      <c r="G71" t="s">
        <v>188</v>
      </c>
      <c r="H71" s="1">
        <v>44138</v>
      </c>
      <c r="I71">
        <v>12.87431694</v>
      </c>
      <c r="J71">
        <v>8.9</v>
      </c>
      <c r="K71">
        <v>4.5999999999999996</v>
      </c>
      <c r="L71" t="s">
        <v>68</v>
      </c>
      <c r="M71">
        <f t="shared" si="1"/>
        <v>4.3000000000000007</v>
      </c>
      <c r="N71">
        <v>9.1300000000000008</v>
      </c>
      <c r="O71">
        <v>14.58</v>
      </c>
      <c r="P71">
        <v>0.85</v>
      </c>
      <c r="Q71">
        <v>0.478016</v>
      </c>
      <c r="R71">
        <v>-0.18540799999999999</v>
      </c>
      <c r="S71">
        <v>0.12801599999999999</v>
      </c>
      <c r="T71">
        <v>0.66342400000000001</v>
      </c>
      <c r="U71">
        <v>0.16459199999999999</v>
      </c>
      <c r="V71">
        <v>0.47243391899999998</v>
      </c>
      <c r="W71">
        <v>-33.962459250000002</v>
      </c>
      <c r="X71">
        <v>2.620059248</v>
      </c>
      <c r="Y71">
        <v>13.83914075</v>
      </c>
      <c r="Z71">
        <v>9.98</v>
      </c>
      <c r="AA71">
        <v>8.9</v>
      </c>
      <c r="AB71">
        <v>0.45800000000000002</v>
      </c>
      <c r="AC71">
        <v>26.7</v>
      </c>
      <c r="AD71">
        <v>1508</v>
      </c>
      <c r="AE71">
        <v>13.4731127</v>
      </c>
      <c r="AF71">
        <v>5.125559301</v>
      </c>
      <c r="AG71" t="s">
        <v>174</v>
      </c>
      <c r="AH71">
        <v>1</v>
      </c>
      <c r="AI71">
        <v>0</v>
      </c>
      <c r="AJ71">
        <v>0</v>
      </c>
      <c r="AK71">
        <v>0</v>
      </c>
      <c r="AL71" t="s">
        <v>155</v>
      </c>
      <c r="AM71" t="s">
        <v>49</v>
      </c>
      <c r="AN71">
        <v>-0.29809999999999998</v>
      </c>
      <c r="AO71">
        <v>0.98</v>
      </c>
      <c r="AP71">
        <v>31.09</v>
      </c>
      <c r="AQ71">
        <v>0.18</v>
      </c>
      <c r="AR71">
        <v>6</v>
      </c>
      <c r="AS71">
        <v>104.2938611</v>
      </c>
    </row>
    <row r="72" spans="1:45" x14ac:dyDescent="0.2">
      <c r="A72" t="s">
        <v>191</v>
      </c>
      <c r="B72" t="s">
        <v>168</v>
      </c>
      <c r="C72" t="s">
        <v>169</v>
      </c>
      <c r="D72" t="s">
        <v>170</v>
      </c>
      <c r="E72">
        <v>29.512350000000001</v>
      </c>
      <c r="F72">
        <v>-89.697980000000001</v>
      </c>
      <c r="G72" s="1">
        <v>39664</v>
      </c>
      <c r="H72" t="s">
        <v>192</v>
      </c>
      <c r="I72">
        <v>11.93715847</v>
      </c>
      <c r="J72">
        <v>7.4</v>
      </c>
      <c r="K72">
        <v>7.5</v>
      </c>
      <c r="L72" t="s">
        <v>68</v>
      </c>
      <c r="M72">
        <f t="shared" si="1"/>
        <v>-9.9999999999999645E-2</v>
      </c>
      <c r="N72">
        <v>9.1300000000000008</v>
      </c>
      <c r="O72">
        <v>14.58</v>
      </c>
      <c r="P72">
        <v>0.85</v>
      </c>
      <c r="Q72">
        <v>0.63041599999999998</v>
      </c>
      <c r="R72">
        <v>-3.3008000000000003E-2</v>
      </c>
      <c r="S72">
        <v>0.280416</v>
      </c>
      <c r="T72">
        <v>0.66342400000000001</v>
      </c>
      <c r="U72">
        <v>0.316992</v>
      </c>
      <c r="V72">
        <v>0.47243391899999998</v>
      </c>
      <c r="W72">
        <v>-33.962459250000002</v>
      </c>
      <c r="X72">
        <v>2.620059248</v>
      </c>
      <c r="Y72">
        <v>29.079140750000001</v>
      </c>
      <c r="Z72">
        <v>7.08</v>
      </c>
      <c r="AA72">
        <v>13.2</v>
      </c>
      <c r="AB72">
        <v>0.70350000000000001</v>
      </c>
      <c r="AC72">
        <v>26.7</v>
      </c>
      <c r="AD72">
        <v>1508</v>
      </c>
      <c r="AE72">
        <v>10.25585369</v>
      </c>
      <c r="AF72">
        <v>6.6207276979999996</v>
      </c>
      <c r="AG72" t="s">
        <v>171</v>
      </c>
      <c r="AH72">
        <v>1</v>
      </c>
      <c r="AI72">
        <v>0</v>
      </c>
      <c r="AJ72">
        <v>0</v>
      </c>
      <c r="AK72">
        <v>0</v>
      </c>
      <c r="AL72" t="s">
        <v>155</v>
      </c>
      <c r="AM72" t="s">
        <v>49</v>
      </c>
      <c r="AN72">
        <v>-9.2700000000000005E-2</v>
      </c>
      <c r="AO72">
        <v>6.9000000000000006E-2</v>
      </c>
      <c r="AP72">
        <v>31.4</v>
      </c>
      <c r="AQ72">
        <v>0.24</v>
      </c>
      <c r="AR72">
        <v>16</v>
      </c>
      <c r="AS72">
        <v>338.72707659999998</v>
      </c>
    </row>
    <row r="73" spans="1:45" x14ac:dyDescent="0.2">
      <c r="A73" t="s">
        <v>193</v>
      </c>
      <c r="B73" t="s">
        <v>168</v>
      </c>
      <c r="C73" t="s">
        <v>169</v>
      </c>
      <c r="D73" t="s">
        <v>170</v>
      </c>
      <c r="E73">
        <v>29.193059999999999</v>
      </c>
      <c r="F73">
        <v>-90.169939999999997</v>
      </c>
      <c r="G73" t="s">
        <v>194</v>
      </c>
      <c r="H73" s="1">
        <v>43924</v>
      </c>
      <c r="I73">
        <v>12.882513660000001</v>
      </c>
      <c r="J73">
        <v>13.2</v>
      </c>
      <c r="K73">
        <v>10.4</v>
      </c>
      <c r="L73" t="s">
        <v>68</v>
      </c>
      <c r="M73">
        <f t="shared" si="1"/>
        <v>2.7999999999999989</v>
      </c>
      <c r="N73">
        <v>9.1300000000000008</v>
      </c>
      <c r="O73">
        <v>14.58</v>
      </c>
      <c r="P73">
        <v>0.85</v>
      </c>
      <c r="Q73">
        <v>0.52678400000000003</v>
      </c>
      <c r="R73">
        <v>-0.23722399999999999</v>
      </c>
      <c r="S73">
        <v>0.176784</v>
      </c>
      <c r="T73">
        <v>0.76400800000000002</v>
      </c>
      <c r="U73">
        <v>0.112776</v>
      </c>
      <c r="V73">
        <v>0.54188961400000002</v>
      </c>
      <c r="W73">
        <v>-40.597686379999999</v>
      </c>
      <c r="X73">
        <v>-0.803113619</v>
      </c>
      <c r="Y73">
        <v>12.080713619999999</v>
      </c>
      <c r="Z73">
        <v>4.18</v>
      </c>
      <c r="AA73">
        <v>32.75</v>
      </c>
      <c r="AB73">
        <v>0.22500000000000001</v>
      </c>
      <c r="AC73">
        <v>26.7</v>
      </c>
      <c r="AD73">
        <v>1508</v>
      </c>
      <c r="AE73">
        <v>3.3665726330000001</v>
      </c>
      <c r="AF73">
        <v>2.1239349719999998</v>
      </c>
      <c r="AG73" t="s">
        <v>174</v>
      </c>
      <c r="AH73">
        <v>1</v>
      </c>
      <c r="AI73">
        <v>0</v>
      </c>
      <c r="AJ73">
        <v>0</v>
      </c>
      <c r="AK73">
        <v>0</v>
      </c>
      <c r="AL73" t="s">
        <v>155</v>
      </c>
      <c r="AM73" t="s">
        <v>49</v>
      </c>
      <c r="AN73">
        <v>-0.14069999999999999</v>
      </c>
      <c r="AO73">
        <v>0.90400000000000003</v>
      </c>
      <c r="AP73">
        <v>7.3</v>
      </c>
      <c r="AQ73">
        <v>0.39</v>
      </c>
      <c r="AR73">
        <v>1000</v>
      </c>
      <c r="AS73">
        <v>51.883439940000002</v>
      </c>
    </row>
    <row r="74" spans="1:45" x14ac:dyDescent="0.2">
      <c r="A74" t="s">
        <v>195</v>
      </c>
      <c r="B74" t="s">
        <v>168</v>
      </c>
      <c r="C74" t="s">
        <v>169</v>
      </c>
      <c r="D74" t="s">
        <v>170</v>
      </c>
      <c r="E74">
        <v>29.32377</v>
      </c>
      <c r="F74">
        <v>-89.796049999999994</v>
      </c>
      <c r="G74" t="s">
        <v>196</v>
      </c>
      <c r="H74" s="1">
        <v>44138</v>
      </c>
      <c r="I74">
        <v>12.37431694</v>
      </c>
      <c r="J74">
        <v>16.2</v>
      </c>
      <c r="K74">
        <v>9.5</v>
      </c>
      <c r="L74" t="s">
        <v>68</v>
      </c>
      <c r="M74">
        <f t="shared" si="1"/>
        <v>6.6999999999999993</v>
      </c>
      <c r="N74">
        <v>9.1300000000000008</v>
      </c>
      <c r="O74">
        <v>13.71</v>
      </c>
      <c r="P74">
        <v>0.85</v>
      </c>
      <c r="Q74">
        <v>0.474968</v>
      </c>
      <c r="R74">
        <v>-0.24332000000000001</v>
      </c>
      <c r="S74">
        <v>0.124968</v>
      </c>
      <c r="T74">
        <v>0.71828800000000004</v>
      </c>
      <c r="U74">
        <v>0.10668</v>
      </c>
      <c r="V74">
        <v>0.51273027000000004</v>
      </c>
      <c r="W74">
        <v>-37.697198669999999</v>
      </c>
      <c r="X74">
        <v>0.86839866899999996</v>
      </c>
      <c r="Y74">
        <v>9.7996013309999999</v>
      </c>
      <c r="Z74">
        <v>4.21</v>
      </c>
      <c r="AA74">
        <v>23.56</v>
      </c>
      <c r="AB74">
        <v>0.54649999999999999</v>
      </c>
      <c r="AC74">
        <v>26.7</v>
      </c>
      <c r="AD74">
        <v>1508</v>
      </c>
      <c r="AE74">
        <v>15.6126585</v>
      </c>
      <c r="AF74">
        <v>5.4171444080000004</v>
      </c>
      <c r="AG74" t="s">
        <v>174</v>
      </c>
      <c r="AH74">
        <v>1</v>
      </c>
      <c r="AI74">
        <v>0</v>
      </c>
      <c r="AJ74">
        <v>0</v>
      </c>
      <c r="AK74">
        <v>0</v>
      </c>
      <c r="AL74" t="s">
        <v>155</v>
      </c>
      <c r="AM74" t="s">
        <v>49</v>
      </c>
      <c r="AN74">
        <v>-0.1177</v>
      </c>
      <c r="AO74">
        <v>0.74</v>
      </c>
      <c r="AP74">
        <v>8.48</v>
      </c>
      <c r="AQ74">
        <v>0.47</v>
      </c>
      <c r="AR74">
        <v>1000</v>
      </c>
      <c r="AS74">
        <v>72.047578590000001</v>
      </c>
    </row>
    <row r="75" spans="1:45" x14ac:dyDescent="0.2">
      <c r="A75" t="s">
        <v>197</v>
      </c>
      <c r="B75" t="s">
        <v>168</v>
      </c>
      <c r="C75" t="s">
        <v>169</v>
      </c>
      <c r="D75" t="s">
        <v>170</v>
      </c>
      <c r="E75">
        <v>29.31653</v>
      </c>
      <c r="F75">
        <v>-89.73433</v>
      </c>
      <c r="G75" t="s">
        <v>196</v>
      </c>
      <c r="H75" t="s">
        <v>176</v>
      </c>
      <c r="I75">
        <v>12.4863388</v>
      </c>
      <c r="J75">
        <v>18.5</v>
      </c>
      <c r="K75">
        <v>8.1</v>
      </c>
      <c r="L75" t="s">
        <v>68</v>
      </c>
      <c r="M75">
        <f t="shared" si="1"/>
        <v>10.4</v>
      </c>
      <c r="N75">
        <v>9.1300000000000008</v>
      </c>
      <c r="O75">
        <v>14.58</v>
      </c>
      <c r="P75">
        <v>0.85</v>
      </c>
      <c r="Q75">
        <v>0.48411199999999999</v>
      </c>
      <c r="R75">
        <v>-0.31342399999999998</v>
      </c>
      <c r="S75">
        <v>0.13411200000000001</v>
      </c>
      <c r="T75">
        <v>0.79753600000000002</v>
      </c>
      <c r="U75">
        <v>3.6575999999999997E-2</v>
      </c>
      <c r="V75">
        <v>0.561148337</v>
      </c>
      <c r="W75">
        <v>-42.616434509999998</v>
      </c>
      <c r="X75">
        <v>-2.1371654850000001</v>
      </c>
      <c r="Y75">
        <v>5.7947654850000001</v>
      </c>
      <c r="Z75">
        <v>6.48</v>
      </c>
      <c r="AA75">
        <v>25.59</v>
      </c>
      <c r="AB75">
        <v>0.44</v>
      </c>
      <c r="AC75">
        <v>26.7</v>
      </c>
      <c r="AD75">
        <v>1508</v>
      </c>
      <c r="AE75">
        <v>10.758096460000001</v>
      </c>
      <c r="AF75">
        <v>2.509012443</v>
      </c>
      <c r="AG75" t="s">
        <v>174</v>
      </c>
      <c r="AH75">
        <v>1</v>
      </c>
      <c r="AI75">
        <v>0</v>
      </c>
      <c r="AJ75">
        <v>0</v>
      </c>
      <c r="AK75">
        <v>0</v>
      </c>
      <c r="AL75" t="s">
        <v>155</v>
      </c>
      <c r="AM75" t="s">
        <v>49</v>
      </c>
      <c r="AN75">
        <v>-0.1196</v>
      </c>
      <c r="AO75">
        <v>0.91</v>
      </c>
      <c r="AP75">
        <v>9.1050000000000004</v>
      </c>
      <c r="AQ75">
        <v>0.38</v>
      </c>
      <c r="AR75">
        <v>0</v>
      </c>
      <c r="AS75">
        <v>76.128762539999997</v>
      </c>
    </row>
    <row r="76" spans="1:45" x14ac:dyDescent="0.2">
      <c r="A76" t="s">
        <v>198</v>
      </c>
      <c r="B76" t="s">
        <v>168</v>
      </c>
      <c r="C76" t="s">
        <v>169</v>
      </c>
      <c r="D76" t="s">
        <v>170</v>
      </c>
      <c r="E76">
        <v>29.4543</v>
      </c>
      <c r="F76">
        <v>-89.729929999999996</v>
      </c>
      <c r="G76" t="s">
        <v>199</v>
      </c>
      <c r="H76" t="s">
        <v>200</v>
      </c>
      <c r="I76">
        <v>13</v>
      </c>
      <c r="J76">
        <v>7.3</v>
      </c>
      <c r="K76">
        <v>10.1</v>
      </c>
      <c r="L76" t="s">
        <v>68</v>
      </c>
      <c r="M76">
        <f t="shared" si="1"/>
        <v>-2.8</v>
      </c>
      <c r="N76">
        <v>9.1300000000000008</v>
      </c>
      <c r="O76">
        <v>13.71</v>
      </c>
      <c r="P76">
        <v>0.85</v>
      </c>
      <c r="Q76">
        <v>0.45972800000000003</v>
      </c>
      <c r="R76">
        <v>-0.28294399999999997</v>
      </c>
      <c r="S76">
        <v>0.10972800000000001</v>
      </c>
      <c r="T76">
        <v>0.742672</v>
      </c>
      <c r="U76">
        <v>6.7056000000000004E-2</v>
      </c>
      <c r="V76">
        <v>0.52872869899999997</v>
      </c>
      <c r="W76">
        <v>-39.266364780000004</v>
      </c>
      <c r="X76">
        <v>-8.3521500000000005E-4</v>
      </c>
      <c r="Y76">
        <v>6.7064352149999999</v>
      </c>
      <c r="Z76">
        <v>3.61</v>
      </c>
      <c r="AA76">
        <v>34.369999999999997</v>
      </c>
      <c r="AB76">
        <v>0.22500000000000001</v>
      </c>
      <c r="AC76">
        <v>26.7</v>
      </c>
      <c r="AD76">
        <v>1508</v>
      </c>
      <c r="AE76">
        <v>5.5431984119999997</v>
      </c>
      <c r="AF76">
        <v>3.3021387299999998</v>
      </c>
      <c r="AG76" t="s">
        <v>174</v>
      </c>
      <c r="AH76">
        <v>1</v>
      </c>
      <c r="AI76">
        <v>0</v>
      </c>
      <c r="AJ76">
        <v>0</v>
      </c>
      <c r="AK76">
        <v>0</v>
      </c>
      <c r="AL76" t="s">
        <v>155</v>
      </c>
      <c r="AM76" t="s">
        <v>49</v>
      </c>
      <c r="AN76">
        <v>-0.37469999999999998</v>
      </c>
      <c r="AO76">
        <v>0.95</v>
      </c>
      <c r="AP76">
        <v>43.79</v>
      </c>
      <c r="AQ76">
        <v>0.23</v>
      </c>
      <c r="AR76">
        <v>1000</v>
      </c>
      <c r="AS76">
        <v>116.8668268</v>
      </c>
    </row>
    <row r="77" spans="1:45" x14ac:dyDescent="0.2">
      <c r="A77" t="s">
        <v>201</v>
      </c>
      <c r="B77" t="s">
        <v>168</v>
      </c>
      <c r="C77" t="s">
        <v>169</v>
      </c>
      <c r="D77" t="s">
        <v>170</v>
      </c>
      <c r="E77">
        <v>29.287400000000002</v>
      </c>
      <c r="F77">
        <v>-90.137919999999994</v>
      </c>
      <c r="G77" t="s">
        <v>194</v>
      </c>
      <c r="H77" s="1">
        <v>44138</v>
      </c>
      <c r="I77">
        <v>12.901639339999999</v>
      </c>
      <c r="J77">
        <v>10.6</v>
      </c>
      <c r="K77">
        <v>9.3000000000000007</v>
      </c>
      <c r="L77" t="s">
        <v>68</v>
      </c>
      <c r="M77">
        <f t="shared" si="1"/>
        <v>1.2999999999999989</v>
      </c>
      <c r="N77">
        <v>9.1300000000000008</v>
      </c>
      <c r="O77">
        <v>13.71</v>
      </c>
      <c r="P77">
        <v>0.85</v>
      </c>
      <c r="Q77">
        <v>0.52983199999999997</v>
      </c>
      <c r="R77">
        <v>-0.25246400000000002</v>
      </c>
      <c r="S77">
        <v>0.17983199999999999</v>
      </c>
      <c r="T77">
        <v>0.78229599999999999</v>
      </c>
      <c r="U77">
        <v>9.7535999999999998E-2</v>
      </c>
      <c r="V77">
        <v>0.55259901600000005</v>
      </c>
      <c r="W77">
        <v>-41.709555199999997</v>
      </c>
      <c r="X77">
        <v>-1.5200448040000001</v>
      </c>
      <c r="Y77">
        <v>11.2736448</v>
      </c>
      <c r="Z77">
        <v>4.41</v>
      </c>
      <c r="AA77">
        <v>31.13</v>
      </c>
      <c r="AB77">
        <v>0.27</v>
      </c>
      <c r="AC77">
        <v>26.7</v>
      </c>
      <c r="AD77">
        <v>1508</v>
      </c>
      <c r="AE77">
        <v>7.5067221919999998</v>
      </c>
      <c r="AF77">
        <v>3.591824457</v>
      </c>
      <c r="AG77" t="s">
        <v>174</v>
      </c>
      <c r="AH77">
        <v>1</v>
      </c>
      <c r="AI77">
        <v>0</v>
      </c>
      <c r="AJ77">
        <v>0</v>
      </c>
      <c r="AK77">
        <v>0</v>
      </c>
      <c r="AL77" t="s">
        <v>155</v>
      </c>
      <c r="AM77" t="s">
        <v>49</v>
      </c>
      <c r="AN77">
        <v>-3.6999999999999998E-2</v>
      </c>
      <c r="AO77">
        <v>0.23</v>
      </c>
      <c r="AP77">
        <v>6.2125000000000004</v>
      </c>
      <c r="AQ77">
        <v>0.83</v>
      </c>
      <c r="AR77">
        <v>1000</v>
      </c>
      <c r="AS77">
        <v>167.90540540000001</v>
      </c>
    </row>
    <row r="78" spans="1:45" x14ac:dyDescent="0.2">
      <c r="A78" t="s">
        <v>202</v>
      </c>
      <c r="B78" t="s">
        <v>168</v>
      </c>
      <c r="C78" t="s">
        <v>169</v>
      </c>
      <c r="D78" t="s">
        <v>170</v>
      </c>
      <c r="E78">
        <v>29.287479999999999</v>
      </c>
      <c r="F78">
        <v>-90.046980000000005</v>
      </c>
      <c r="G78" t="s">
        <v>194</v>
      </c>
      <c r="H78" s="1">
        <v>44138</v>
      </c>
      <c r="I78">
        <v>12.901639339999999</v>
      </c>
      <c r="J78">
        <v>11.1</v>
      </c>
      <c r="K78">
        <v>12</v>
      </c>
      <c r="L78" t="s">
        <v>68</v>
      </c>
      <c r="M78">
        <f t="shared" si="1"/>
        <v>-0.90000000000000036</v>
      </c>
      <c r="N78">
        <v>9.1300000000000008</v>
      </c>
      <c r="O78">
        <v>14.58</v>
      </c>
      <c r="P78">
        <v>0.85</v>
      </c>
      <c r="Q78">
        <v>0.54812000000000005</v>
      </c>
      <c r="R78">
        <v>-0.11225599999999999</v>
      </c>
      <c r="S78">
        <v>0.19811999999999999</v>
      </c>
      <c r="T78">
        <v>0.66037599999999996</v>
      </c>
      <c r="U78">
        <v>0.23774400000000001</v>
      </c>
      <c r="V78">
        <v>0.46999890999999999</v>
      </c>
      <c r="W78">
        <v>-33.746010380000001</v>
      </c>
      <c r="X78">
        <v>2.7084103800000001</v>
      </c>
      <c r="Y78">
        <v>21.06598962</v>
      </c>
      <c r="Z78">
        <v>2.58</v>
      </c>
      <c r="AA78">
        <v>12.58</v>
      </c>
      <c r="AB78">
        <v>0.59799999999999998</v>
      </c>
      <c r="AC78">
        <v>26.7</v>
      </c>
      <c r="AD78">
        <v>1508</v>
      </c>
      <c r="AE78">
        <v>15.20829296</v>
      </c>
      <c r="AF78">
        <v>4.3433575690000001</v>
      </c>
      <c r="AG78" t="s">
        <v>174</v>
      </c>
      <c r="AH78">
        <v>1</v>
      </c>
      <c r="AI78">
        <v>0</v>
      </c>
      <c r="AJ78">
        <v>0</v>
      </c>
      <c r="AK78">
        <v>0</v>
      </c>
      <c r="AL78" t="s">
        <v>155</v>
      </c>
      <c r="AM78" t="s">
        <v>49</v>
      </c>
      <c r="AN78">
        <v>-1.6480999999999999</v>
      </c>
      <c r="AO78">
        <v>0.99</v>
      </c>
      <c r="AP78">
        <v>14.035</v>
      </c>
      <c r="AQ78">
        <v>0.61</v>
      </c>
      <c r="AR78">
        <v>1000</v>
      </c>
      <c r="AS78">
        <v>8.5158667559999994</v>
      </c>
    </row>
    <row r="79" spans="1:45" x14ac:dyDescent="0.2">
      <c r="A79" t="s">
        <v>203</v>
      </c>
      <c r="B79" t="s">
        <v>168</v>
      </c>
      <c r="C79" t="s">
        <v>169</v>
      </c>
      <c r="D79" t="s">
        <v>170</v>
      </c>
      <c r="E79">
        <v>29.396229999999999</v>
      </c>
      <c r="F79">
        <v>-89.698449999999994</v>
      </c>
      <c r="G79" s="1">
        <v>39935</v>
      </c>
      <c r="H79" t="s">
        <v>200</v>
      </c>
      <c r="I79">
        <v>11.196721309999999</v>
      </c>
      <c r="J79">
        <v>21.8</v>
      </c>
      <c r="K79">
        <v>6.9</v>
      </c>
      <c r="L79" t="s">
        <v>68</v>
      </c>
      <c r="M79">
        <f t="shared" si="1"/>
        <v>14.9</v>
      </c>
      <c r="N79">
        <v>9.1300000000000008</v>
      </c>
      <c r="O79">
        <v>14.58</v>
      </c>
      <c r="P79">
        <v>0.85</v>
      </c>
      <c r="Q79">
        <v>0.42620000000000002</v>
      </c>
      <c r="R79">
        <v>-0.27379999999999999</v>
      </c>
      <c r="S79">
        <v>7.6200000000000004E-2</v>
      </c>
      <c r="T79">
        <v>0.7</v>
      </c>
      <c r="U79">
        <v>7.6200000000000004E-2</v>
      </c>
      <c r="V79">
        <v>0.5</v>
      </c>
      <c r="W79">
        <v>-36.484960870000002</v>
      </c>
      <c r="X79">
        <v>1.484960871</v>
      </c>
      <c r="Y79">
        <v>6.1350391289999999</v>
      </c>
      <c r="Z79">
        <v>7.68</v>
      </c>
      <c r="AA79">
        <v>18.66</v>
      </c>
      <c r="AB79">
        <v>0.41149999999999998</v>
      </c>
      <c r="AC79">
        <v>26.7</v>
      </c>
      <c r="AD79">
        <v>1508</v>
      </c>
      <c r="AE79">
        <v>15.93599757</v>
      </c>
      <c r="AF79">
        <v>5.1474409440000004</v>
      </c>
      <c r="AG79" t="s">
        <v>174</v>
      </c>
      <c r="AH79">
        <v>1</v>
      </c>
      <c r="AI79">
        <v>0</v>
      </c>
      <c r="AJ79">
        <v>0</v>
      </c>
      <c r="AK79">
        <v>0</v>
      </c>
      <c r="AL79" t="s">
        <v>155</v>
      </c>
      <c r="AM79" t="s">
        <v>49</v>
      </c>
      <c r="AN79">
        <v>-0.1288</v>
      </c>
      <c r="AO79">
        <v>0.79559999999999997</v>
      </c>
      <c r="AP79">
        <v>14.19</v>
      </c>
      <c r="AQ79">
        <v>0.36</v>
      </c>
      <c r="AR79">
        <v>7</v>
      </c>
      <c r="AS79">
        <v>110.1708075</v>
      </c>
    </row>
    <row r="80" spans="1:45" x14ac:dyDescent="0.2">
      <c r="A80" t="s">
        <v>204</v>
      </c>
      <c r="B80" t="s">
        <v>168</v>
      </c>
      <c r="C80" t="s">
        <v>169</v>
      </c>
      <c r="D80" t="s">
        <v>170</v>
      </c>
      <c r="E80">
        <v>29.338229999999999</v>
      </c>
      <c r="F80">
        <v>-89.700329999999994</v>
      </c>
      <c r="G80" t="s">
        <v>196</v>
      </c>
      <c r="H80" t="s">
        <v>176</v>
      </c>
      <c r="I80">
        <v>12.4863388</v>
      </c>
      <c r="J80">
        <v>18.5</v>
      </c>
      <c r="K80">
        <v>14.1</v>
      </c>
      <c r="L80" t="s">
        <v>68</v>
      </c>
      <c r="M80">
        <f t="shared" si="1"/>
        <v>4.4000000000000004</v>
      </c>
      <c r="N80">
        <v>9.1300000000000008</v>
      </c>
      <c r="O80">
        <v>14.58</v>
      </c>
      <c r="P80">
        <v>0.85</v>
      </c>
      <c r="Q80">
        <v>0.474968</v>
      </c>
      <c r="R80">
        <v>-0.20369599999999999</v>
      </c>
      <c r="S80">
        <v>0.124968</v>
      </c>
      <c r="T80">
        <v>0.67866400000000004</v>
      </c>
      <c r="U80">
        <v>0.14630399999999999</v>
      </c>
      <c r="V80">
        <v>0.484280881</v>
      </c>
      <c r="W80">
        <v>-35.030000350000002</v>
      </c>
      <c r="X80">
        <v>2.1636003549999998</v>
      </c>
      <c r="Y80">
        <v>12.46679965</v>
      </c>
      <c r="Z80">
        <v>0.48</v>
      </c>
      <c r="AA80">
        <v>19.71</v>
      </c>
      <c r="AB80">
        <v>0.4365</v>
      </c>
      <c r="AC80">
        <v>26.7</v>
      </c>
      <c r="AD80">
        <v>1508</v>
      </c>
      <c r="AE80">
        <v>15.15555453</v>
      </c>
      <c r="AF80">
        <v>3.381318753</v>
      </c>
      <c r="AG80" t="s">
        <v>174</v>
      </c>
      <c r="AH80">
        <v>1</v>
      </c>
      <c r="AI80">
        <v>0</v>
      </c>
      <c r="AJ80">
        <v>0</v>
      </c>
      <c r="AK80">
        <v>0</v>
      </c>
      <c r="AL80" t="s">
        <v>155</v>
      </c>
      <c r="AM80" t="s">
        <v>49</v>
      </c>
      <c r="AN80">
        <v>-0.20680000000000001</v>
      </c>
      <c r="AO80">
        <v>0.97</v>
      </c>
      <c r="AP80">
        <v>8.5500000000000007</v>
      </c>
      <c r="AQ80">
        <v>0.91</v>
      </c>
      <c r="AR80">
        <v>1000</v>
      </c>
      <c r="AS80">
        <v>41.344293999999998</v>
      </c>
    </row>
    <row r="81" spans="1:45" x14ac:dyDescent="0.2">
      <c r="A81" t="s">
        <v>205</v>
      </c>
      <c r="B81" t="s">
        <v>168</v>
      </c>
      <c r="C81" t="s">
        <v>169</v>
      </c>
      <c r="D81" t="s">
        <v>170</v>
      </c>
      <c r="E81">
        <v>29.490570000000002</v>
      </c>
      <c r="F81">
        <v>-89.791730000000001</v>
      </c>
      <c r="G81" t="s">
        <v>206</v>
      </c>
      <c r="H81" s="1">
        <v>44138</v>
      </c>
      <c r="I81">
        <v>12.89617486</v>
      </c>
      <c r="J81">
        <v>9.6999999999999993</v>
      </c>
      <c r="K81">
        <v>8.1999999999999993</v>
      </c>
      <c r="L81" t="s">
        <v>68</v>
      </c>
      <c r="M81">
        <f t="shared" si="1"/>
        <v>1.5</v>
      </c>
      <c r="N81">
        <v>9.1300000000000008</v>
      </c>
      <c r="O81">
        <v>13.97</v>
      </c>
      <c r="P81">
        <v>0.85</v>
      </c>
      <c r="Q81">
        <v>0.45972800000000003</v>
      </c>
      <c r="R81">
        <v>-0.16711999999999999</v>
      </c>
      <c r="S81">
        <v>0.10972800000000001</v>
      </c>
      <c r="T81">
        <v>0.62684799999999996</v>
      </c>
      <c r="U81">
        <v>0.18287999999999999</v>
      </c>
      <c r="V81">
        <v>0.44165092700000003</v>
      </c>
      <c r="W81">
        <v>-31.296869730000001</v>
      </c>
      <c r="X81">
        <v>3.6120697279999998</v>
      </c>
      <c r="Y81">
        <v>14.67593027</v>
      </c>
      <c r="Z81">
        <v>5.77</v>
      </c>
      <c r="AA81">
        <v>23.96</v>
      </c>
      <c r="AB81">
        <v>0.23350000000000001</v>
      </c>
      <c r="AC81">
        <v>26.7</v>
      </c>
      <c r="AD81">
        <v>1508</v>
      </c>
      <c r="AE81">
        <v>9.3357291619999998</v>
      </c>
      <c r="AF81">
        <v>2.938167623</v>
      </c>
      <c r="AG81" t="s">
        <v>171</v>
      </c>
      <c r="AH81">
        <v>1</v>
      </c>
      <c r="AI81">
        <v>0</v>
      </c>
      <c r="AJ81">
        <v>0</v>
      </c>
      <c r="AK81">
        <v>0</v>
      </c>
      <c r="AL81" t="s">
        <v>155</v>
      </c>
      <c r="AM81" t="s">
        <v>49</v>
      </c>
      <c r="AN81">
        <v>4.48E-2</v>
      </c>
      <c r="AO81">
        <v>1.9300000000000001E-2</v>
      </c>
      <c r="AP81">
        <v>29.07</v>
      </c>
      <c r="AQ81">
        <v>0.19</v>
      </c>
      <c r="AR81">
        <v>39</v>
      </c>
      <c r="AS81">
        <v>1000</v>
      </c>
    </row>
    <row r="82" spans="1:45" x14ac:dyDescent="0.2">
      <c r="A82" t="s">
        <v>207</v>
      </c>
      <c r="B82" t="s">
        <v>168</v>
      </c>
      <c r="C82" t="s">
        <v>169</v>
      </c>
      <c r="D82" t="s">
        <v>170</v>
      </c>
      <c r="E82">
        <v>29.56315</v>
      </c>
      <c r="F82">
        <v>-90.072990000000004</v>
      </c>
      <c r="G82" s="1">
        <v>39420</v>
      </c>
      <c r="H82" s="1">
        <v>43893</v>
      </c>
      <c r="I82">
        <v>12.89071038</v>
      </c>
      <c r="J82">
        <v>7.8</v>
      </c>
      <c r="K82">
        <v>2.8</v>
      </c>
      <c r="L82" t="s">
        <v>68</v>
      </c>
      <c r="M82">
        <f t="shared" si="1"/>
        <v>5</v>
      </c>
      <c r="N82">
        <v>9.1300000000000008</v>
      </c>
      <c r="O82">
        <v>13.71</v>
      </c>
      <c r="P82">
        <v>0.85</v>
      </c>
      <c r="Q82">
        <v>0.59993600000000002</v>
      </c>
      <c r="R82">
        <v>-0.17321600000000001</v>
      </c>
      <c r="S82">
        <v>0.24993599999999999</v>
      </c>
      <c r="T82">
        <v>0.77315199999999995</v>
      </c>
      <c r="U82">
        <v>0.176784</v>
      </c>
      <c r="V82">
        <v>0.54730764499999995</v>
      </c>
      <c r="W82">
        <v>-41.156908360000003</v>
      </c>
      <c r="X82">
        <v>-1.1582916409999999</v>
      </c>
      <c r="Y82">
        <v>18.836691640000002</v>
      </c>
      <c r="Z82">
        <v>10.91</v>
      </c>
      <c r="AA82">
        <v>42.84</v>
      </c>
      <c r="AB82">
        <v>0.17849999999999999</v>
      </c>
      <c r="AC82">
        <v>26.7</v>
      </c>
      <c r="AD82">
        <v>1508</v>
      </c>
      <c r="AE82">
        <v>12.87332284</v>
      </c>
      <c r="AF82">
        <v>8.2448164609999992</v>
      </c>
      <c r="AG82" t="s">
        <v>171</v>
      </c>
      <c r="AH82">
        <v>1</v>
      </c>
      <c r="AI82">
        <v>0</v>
      </c>
      <c r="AJ82">
        <v>0</v>
      </c>
      <c r="AK82">
        <v>0</v>
      </c>
      <c r="AL82" t="s">
        <v>155</v>
      </c>
      <c r="AM82" t="s">
        <v>49</v>
      </c>
      <c r="AN82">
        <v>-6.7000000000000002E-3</v>
      </c>
      <c r="AO82">
        <v>1.6799999999999999E-2</v>
      </c>
      <c r="AP82">
        <v>8.2799999999999994</v>
      </c>
      <c r="AQ82">
        <v>0.7</v>
      </c>
      <c r="AR82">
        <v>0</v>
      </c>
      <c r="AS82">
        <v>1235.8208959999999</v>
      </c>
    </row>
    <row r="83" spans="1:45" x14ac:dyDescent="0.2">
      <c r="A83" t="s">
        <v>208</v>
      </c>
      <c r="B83" t="s">
        <v>168</v>
      </c>
      <c r="C83" t="s">
        <v>169</v>
      </c>
      <c r="D83" t="s">
        <v>170</v>
      </c>
      <c r="E83">
        <v>29.49783</v>
      </c>
      <c r="F83">
        <v>-90.010480000000001</v>
      </c>
      <c r="G83" s="1">
        <v>39206</v>
      </c>
      <c r="H83" t="s">
        <v>209</v>
      </c>
      <c r="I83">
        <v>13.027397260000001</v>
      </c>
      <c r="J83">
        <v>10.7</v>
      </c>
      <c r="K83">
        <v>7.7</v>
      </c>
      <c r="L83" t="s">
        <v>68</v>
      </c>
      <c r="M83">
        <f t="shared" si="1"/>
        <v>2.9999999999999991</v>
      </c>
      <c r="N83">
        <v>9.1300000000000008</v>
      </c>
      <c r="O83">
        <v>14.58</v>
      </c>
      <c r="P83">
        <v>0.85</v>
      </c>
      <c r="Q83">
        <v>0.52983199999999997</v>
      </c>
      <c r="R83">
        <v>-0.17321600000000001</v>
      </c>
      <c r="S83">
        <v>0.17983199999999999</v>
      </c>
      <c r="T83">
        <v>0.70304800000000001</v>
      </c>
      <c r="U83">
        <v>0.176784</v>
      </c>
      <c r="V83">
        <v>0.50216770399999999</v>
      </c>
      <c r="W83">
        <v>-36.689184070000003</v>
      </c>
      <c r="X83">
        <v>1.3843840730000001</v>
      </c>
      <c r="Y83">
        <v>16.29401593</v>
      </c>
      <c r="Z83">
        <v>6.88</v>
      </c>
      <c r="AA83">
        <v>15.91</v>
      </c>
      <c r="AB83">
        <v>0.33350000000000002</v>
      </c>
      <c r="AC83">
        <v>26.7</v>
      </c>
      <c r="AD83">
        <v>1508</v>
      </c>
      <c r="AE83">
        <v>4.2670733529999998</v>
      </c>
      <c r="AF83">
        <v>1.287070122</v>
      </c>
      <c r="AG83" t="s">
        <v>174</v>
      </c>
      <c r="AH83">
        <v>1</v>
      </c>
      <c r="AI83">
        <v>0</v>
      </c>
      <c r="AJ83">
        <v>0</v>
      </c>
      <c r="AK83">
        <v>0</v>
      </c>
      <c r="AL83" t="s">
        <v>155</v>
      </c>
      <c r="AM83" t="s">
        <v>49</v>
      </c>
      <c r="AN83">
        <v>6.08E-2</v>
      </c>
      <c r="AO83">
        <v>0.68930000000000002</v>
      </c>
      <c r="AP83">
        <v>15.897500000000001</v>
      </c>
      <c r="AQ83">
        <v>0.25</v>
      </c>
      <c r="AR83">
        <v>10</v>
      </c>
      <c r="AS83">
        <v>1000</v>
      </c>
    </row>
    <row r="84" spans="1:45" x14ac:dyDescent="0.2">
      <c r="A84" t="s">
        <v>210</v>
      </c>
      <c r="B84" t="s">
        <v>168</v>
      </c>
      <c r="C84" t="s">
        <v>169</v>
      </c>
      <c r="D84" t="s">
        <v>170</v>
      </c>
      <c r="E84">
        <v>29.476050000000001</v>
      </c>
      <c r="F84">
        <v>-89.947980000000001</v>
      </c>
      <c r="G84" t="s">
        <v>211</v>
      </c>
      <c r="H84" s="1">
        <v>44138</v>
      </c>
      <c r="I84">
        <v>4.9890710379999996</v>
      </c>
      <c r="J84">
        <v>25.7</v>
      </c>
      <c r="K84">
        <v>11.2</v>
      </c>
      <c r="L84" t="s">
        <v>68</v>
      </c>
      <c r="M84">
        <f t="shared" si="1"/>
        <v>14.5</v>
      </c>
      <c r="N84">
        <v>9.1300000000000008</v>
      </c>
      <c r="O84">
        <v>14.58</v>
      </c>
      <c r="P84">
        <v>0.85</v>
      </c>
      <c r="Q84">
        <v>0.52068800000000004</v>
      </c>
      <c r="R84">
        <v>-1.1672E-2</v>
      </c>
      <c r="S84">
        <v>0.17068800000000001</v>
      </c>
      <c r="T84">
        <v>0.53236000000000006</v>
      </c>
      <c r="U84">
        <v>0.33832800000000002</v>
      </c>
      <c r="V84">
        <v>0.342550154</v>
      </c>
      <c r="W84">
        <v>-23.617212219999999</v>
      </c>
      <c r="X84">
        <v>5.3812122159999998</v>
      </c>
      <c r="Y84">
        <v>28.451587780000001</v>
      </c>
      <c r="Z84">
        <v>3.38</v>
      </c>
      <c r="AA84">
        <v>20.52</v>
      </c>
      <c r="AB84">
        <v>0.17150000000000001</v>
      </c>
      <c r="AC84">
        <v>26.7</v>
      </c>
      <c r="AD84">
        <v>1508</v>
      </c>
      <c r="AE84">
        <v>9.0535188909999995</v>
      </c>
      <c r="AF84">
        <v>3.2513613370000001</v>
      </c>
      <c r="AG84" t="s">
        <v>174</v>
      </c>
      <c r="AH84">
        <v>1</v>
      </c>
      <c r="AI84">
        <v>0</v>
      </c>
      <c r="AJ84">
        <v>0</v>
      </c>
      <c r="AK84">
        <v>0</v>
      </c>
      <c r="AL84" t="s">
        <v>155</v>
      </c>
      <c r="AM84" t="s">
        <v>49</v>
      </c>
      <c r="AN84">
        <v>-0.17369999999999999</v>
      </c>
      <c r="AO84">
        <v>0.83</v>
      </c>
      <c r="AP84">
        <v>11.0875</v>
      </c>
      <c r="AQ84">
        <v>0.78</v>
      </c>
      <c r="AR84">
        <v>1000</v>
      </c>
      <c r="AS84">
        <v>63.831318359999997</v>
      </c>
    </row>
    <row r="85" spans="1:45" x14ac:dyDescent="0.2">
      <c r="A85" t="s">
        <v>212</v>
      </c>
      <c r="B85" t="s">
        <v>168</v>
      </c>
      <c r="C85" t="s">
        <v>169</v>
      </c>
      <c r="D85" t="s">
        <v>170</v>
      </c>
      <c r="E85">
        <v>29.519600000000001</v>
      </c>
      <c r="F85">
        <v>-90.010480000000001</v>
      </c>
      <c r="G85" t="s">
        <v>213</v>
      </c>
      <c r="H85" t="s">
        <v>214</v>
      </c>
      <c r="I85">
        <v>13.038356159999999</v>
      </c>
      <c r="J85">
        <v>10.3</v>
      </c>
      <c r="K85">
        <v>5.5</v>
      </c>
      <c r="L85" t="s">
        <v>68</v>
      </c>
      <c r="M85">
        <f t="shared" si="1"/>
        <v>4.8000000000000007</v>
      </c>
      <c r="N85">
        <v>9.1300000000000008</v>
      </c>
      <c r="O85">
        <v>14.58</v>
      </c>
      <c r="P85">
        <v>0.85</v>
      </c>
      <c r="Q85">
        <v>0.55421600000000004</v>
      </c>
      <c r="R85">
        <v>-0.231128</v>
      </c>
      <c r="S85">
        <v>0.20421600000000001</v>
      </c>
      <c r="T85">
        <v>0.78534400000000004</v>
      </c>
      <c r="U85">
        <v>0.11887200000000001</v>
      </c>
      <c r="V85">
        <v>0.55433542499999999</v>
      </c>
      <c r="W85">
        <v>-41.892336229999998</v>
      </c>
      <c r="X85">
        <v>-1.6420637659999999</v>
      </c>
      <c r="Y85">
        <v>13.52926377</v>
      </c>
      <c r="Z85">
        <v>9.08</v>
      </c>
      <c r="AA85">
        <v>23.27</v>
      </c>
      <c r="AB85">
        <v>0.1915</v>
      </c>
      <c r="AC85">
        <v>26.7</v>
      </c>
      <c r="AD85">
        <v>1508</v>
      </c>
      <c r="AE85">
        <v>1.0878680030000001</v>
      </c>
      <c r="AF85">
        <v>1.0721814350000001</v>
      </c>
      <c r="AG85" t="s">
        <v>171</v>
      </c>
      <c r="AH85">
        <v>1</v>
      </c>
      <c r="AI85">
        <v>0</v>
      </c>
      <c r="AJ85">
        <v>0</v>
      </c>
      <c r="AK85">
        <v>0</v>
      </c>
      <c r="AL85" t="s">
        <v>155</v>
      </c>
      <c r="AM85" t="s">
        <v>49</v>
      </c>
      <c r="AN85">
        <v>-0.1104</v>
      </c>
      <c r="AO85">
        <v>0.8</v>
      </c>
      <c r="AP85">
        <v>11.77</v>
      </c>
      <c r="AQ85">
        <v>0.28999999999999998</v>
      </c>
      <c r="AR85">
        <v>0</v>
      </c>
      <c r="AS85">
        <v>106.6123188</v>
      </c>
    </row>
    <row r="86" spans="1:45" x14ac:dyDescent="0.2">
      <c r="A86" t="s">
        <v>215</v>
      </c>
      <c r="B86" t="s">
        <v>168</v>
      </c>
      <c r="C86" t="s">
        <v>169</v>
      </c>
      <c r="D86" t="s">
        <v>170</v>
      </c>
      <c r="E86">
        <v>29.555890000000002</v>
      </c>
      <c r="F86">
        <v>-90.072990000000004</v>
      </c>
      <c r="G86" s="1">
        <v>39206</v>
      </c>
      <c r="H86" t="s">
        <v>216</v>
      </c>
      <c r="I86">
        <v>12.95355191</v>
      </c>
      <c r="J86">
        <v>22.8</v>
      </c>
      <c r="K86">
        <v>4.5</v>
      </c>
      <c r="L86" t="s">
        <v>68</v>
      </c>
      <c r="M86">
        <f t="shared" si="1"/>
        <v>18.3</v>
      </c>
      <c r="N86">
        <v>9.1300000000000008</v>
      </c>
      <c r="O86">
        <v>14.58</v>
      </c>
      <c r="P86">
        <v>0.85</v>
      </c>
      <c r="Q86">
        <v>0.55421600000000004</v>
      </c>
      <c r="R86">
        <v>-0.124448</v>
      </c>
      <c r="S86">
        <v>0.20421600000000001</v>
      </c>
      <c r="T86">
        <v>0.67866400000000004</v>
      </c>
      <c r="U86">
        <v>0.225552</v>
      </c>
      <c r="V86">
        <v>0.484280881</v>
      </c>
      <c r="W86">
        <v>-35.030000350000002</v>
      </c>
      <c r="X86">
        <v>2.1636003549999998</v>
      </c>
      <c r="Y86">
        <v>20.39159965</v>
      </c>
      <c r="Z86">
        <v>10.08</v>
      </c>
      <c r="AA86">
        <v>32.630000000000003</v>
      </c>
      <c r="AB86">
        <v>0.27200000000000002</v>
      </c>
      <c r="AC86">
        <v>26.7</v>
      </c>
      <c r="AD86">
        <v>1508</v>
      </c>
      <c r="AE86">
        <v>12.87332284</v>
      </c>
      <c r="AF86">
        <v>8.2448164609999992</v>
      </c>
      <c r="AG86" t="s">
        <v>171</v>
      </c>
      <c r="AH86">
        <v>1</v>
      </c>
      <c r="AI86">
        <v>0</v>
      </c>
      <c r="AJ86">
        <v>0</v>
      </c>
      <c r="AK86">
        <v>0</v>
      </c>
      <c r="AL86" t="s">
        <v>155</v>
      </c>
      <c r="AM86" t="s">
        <v>49</v>
      </c>
      <c r="AN86">
        <v>-0.3649</v>
      </c>
      <c r="AO86">
        <v>0.82</v>
      </c>
      <c r="AP86">
        <v>16.967500000000001</v>
      </c>
      <c r="AQ86">
        <v>0.48</v>
      </c>
      <c r="AR86">
        <v>5</v>
      </c>
      <c r="AS86">
        <v>46.499040829999998</v>
      </c>
    </row>
    <row r="87" spans="1:45" x14ac:dyDescent="0.2">
      <c r="A87" t="s">
        <v>217</v>
      </c>
      <c r="B87" t="s">
        <v>168</v>
      </c>
      <c r="C87" t="s">
        <v>169</v>
      </c>
      <c r="D87" t="s">
        <v>170</v>
      </c>
      <c r="E87">
        <v>29.41799</v>
      </c>
      <c r="F87">
        <v>-89.697980000000001</v>
      </c>
      <c r="G87" s="1">
        <v>39452</v>
      </c>
      <c r="H87" t="s">
        <v>200</v>
      </c>
      <c r="I87">
        <v>11.961748630000001</v>
      </c>
      <c r="J87">
        <v>21</v>
      </c>
      <c r="K87">
        <v>11.3</v>
      </c>
      <c r="L87" t="s">
        <v>68</v>
      </c>
      <c r="M87">
        <f t="shared" si="1"/>
        <v>9.6999999999999993</v>
      </c>
      <c r="N87">
        <v>9.1300000000000008</v>
      </c>
      <c r="O87">
        <v>14.58</v>
      </c>
      <c r="P87">
        <v>0.85</v>
      </c>
      <c r="Q87">
        <v>0.45667999999999997</v>
      </c>
      <c r="R87">
        <v>-0.29513600000000001</v>
      </c>
      <c r="S87">
        <v>0.10668</v>
      </c>
      <c r="T87">
        <v>0.75181600000000004</v>
      </c>
      <c r="U87">
        <v>5.4864000000000003E-2</v>
      </c>
      <c r="V87">
        <v>0.534460559</v>
      </c>
      <c r="W87">
        <v>-39.84155458</v>
      </c>
      <c r="X87">
        <v>-0.34004542300000001</v>
      </c>
      <c r="Y87">
        <v>5.826445423</v>
      </c>
      <c r="Z87">
        <v>3.28</v>
      </c>
      <c r="AA87">
        <v>27.36</v>
      </c>
      <c r="AB87">
        <v>0.312</v>
      </c>
      <c r="AC87">
        <v>26.7</v>
      </c>
      <c r="AD87">
        <v>1508</v>
      </c>
      <c r="AE87">
        <v>7.7571113819999997</v>
      </c>
      <c r="AF87">
        <v>4.7193950500000001</v>
      </c>
      <c r="AG87" t="s">
        <v>174</v>
      </c>
      <c r="AH87">
        <v>1</v>
      </c>
      <c r="AI87">
        <v>0</v>
      </c>
      <c r="AJ87">
        <v>0</v>
      </c>
      <c r="AK87">
        <v>0</v>
      </c>
      <c r="AL87" t="s">
        <v>155</v>
      </c>
      <c r="AM87" t="s">
        <v>49</v>
      </c>
      <c r="AN87">
        <v>-0.2281</v>
      </c>
      <c r="AO87">
        <v>0.78</v>
      </c>
      <c r="AP87">
        <v>9.8074999999999992</v>
      </c>
      <c r="AQ87">
        <v>0.54</v>
      </c>
      <c r="AR87">
        <v>1000</v>
      </c>
      <c r="AS87">
        <v>42.996492770000003</v>
      </c>
    </row>
    <row r="88" spans="1:45" x14ac:dyDescent="0.2">
      <c r="A88" t="s">
        <v>218</v>
      </c>
      <c r="B88" t="s">
        <v>168</v>
      </c>
      <c r="C88" t="s">
        <v>169</v>
      </c>
      <c r="D88" t="s">
        <v>170</v>
      </c>
      <c r="E88">
        <v>29.621210000000001</v>
      </c>
      <c r="F88">
        <v>-89.947980000000001</v>
      </c>
      <c r="G88" t="s">
        <v>219</v>
      </c>
      <c r="H88" s="1">
        <v>44078</v>
      </c>
      <c r="I88">
        <v>11.153005459999999</v>
      </c>
      <c r="J88">
        <v>10.8</v>
      </c>
      <c r="K88">
        <v>9</v>
      </c>
      <c r="L88" t="s">
        <v>68</v>
      </c>
      <c r="M88">
        <f t="shared" si="1"/>
        <v>1.8000000000000007</v>
      </c>
      <c r="N88">
        <v>9.1300000000000008</v>
      </c>
      <c r="O88">
        <v>14.58</v>
      </c>
      <c r="P88">
        <v>0.85</v>
      </c>
      <c r="Q88">
        <v>0.58469599999999999</v>
      </c>
      <c r="R88">
        <v>-0.12139999999999999</v>
      </c>
      <c r="S88">
        <v>0.23469599999999999</v>
      </c>
      <c r="T88">
        <v>0.70609599999999995</v>
      </c>
      <c r="U88">
        <v>0.2286</v>
      </c>
      <c r="V88">
        <v>0.50431669300000004</v>
      </c>
      <c r="W88">
        <v>-36.892523799999999</v>
      </c>
      <c r="X88">
        <v>1.282923797</v>
      </c>
      <c r="Y88">
        <v>21.5770762</v>
      </c>
      <c r="Z88">
        <v>5.58</v>
      </c>
      <c r="AA88">
        <v>38.42</v>
      </c>
      <c r="AB88">
        <v>0.1835</v>
      </c>
      <c r="AC88">
        <v>26.7</v>
      </c>
      <c r="AD88">
        <v>1508</v>
      </c>
      <c r="AE88">
        <v>1.6156017680000001</v>
      </c>
      <c r="AF88">
        <v>1.6422397280000001</v>
      </c>
      <c r="AG88" t="s">
        <v>171</v>
      </c>
      <c r="AH88">
        <v>1</v>
      </c>
      <c r="AI88">
        <v>0</v>
      </c>
      <c r="AJ88">
        <v>0</v>
      </c>
      <c r="AK88">
        <v>0</v>
      </c>
      <c r="AL88" t="s">
        <v>155</v>
      </c>
      <c r="AM88" t="s">
        <v>49</v>
      </c>
      <c r="AN88">
        <v>-0.35010000000000002</v>
      </c>
      <c r="AO88">
        <v>0.86</v>
      </c>
      <c r="AP88">
        <v>7.1849999999999996</v>
      </c>
      <c r="AQ88">
        <v>0.73</v>
      </c>
      <c r="AR88">
        <v>99</v>
      </c>
      <c r="AS88">
        <v>20.522707799999999</v>
      </c>
    </row>
    <row r="89" spans="1:45" x14ac:dyDescent="0.2">
      <c r="A89" t="s">
        <v>220</v>
      </c>
      <c r="B89" t="s">
        <v>168</v>
      </c>
      <c r="C89" t="s">
        <v>169</v>
      </c>
      <c r="D89" t="s">
        <v>170</v>
      </c>
      <c r="E89">
        <v>29.147829999999999</v>
      </c>
      <c r="F89">
        <v>-90.916989999999998</v>
      </c>
      <c r="G89" t="s">
        <v>194</v>
      </c>
      <c r="H89" s="1">
        <v>42920</v>
      </c>
      <c r="I89">
        <v>9.9753424660000007</v>
      </c>
      <c r="J89" t="s">
        <v>68</v>
      </c>
      <c r="K89">
        <v>-19.7</v>
      </c>
      <c r="L89" t="s">
        <v>68</v>
      </c>
      <c r="M89" t="s">
        <v>68</v>
      </c>
      <c r="N89">
        <v>9.1300000000000008</v>
      </c>
      <c r="O89">
        <v>13.71</v>
      </c>
      <c r="P89">
        <v>0.85</v>
      </c>
      <c r="Q89">
        <v>0.44144</v>
      </c>
      <c r="R89">
        <v>-0.249416</v>
      </c>
      <c r="S89">
        <v>9.1439999999999994E-2</v>
      </c>
      <c r="T89">
        <v>0.69085600000000003</v>
      </c>
      <c r="U89">
        <v>0.10058400000000001</v>
      </c>
      <c r="V89">
        <v>0.49338212300000001</v>
      </c>
      <c r="W89">
        <v>-35.86691278</v>
      </c>
      <c r="X89">
        <v>1.781312776</v>
      </c>
      <c r="Y89">
        <v>8.2770872240000006</v>
      </c>
      <c r="Z89">
        <v>33.409999999999997</v>
      </c>
      <c r="AA89">
        <v>15.6</v>
      </c>
      <c r="AB89">
        <v>0.52800000000000002</v>
      </c>
      <c r="AC89">
        <v>26.7</v>
      </c>
      <c r="AD89">
        <v>1508</v>
      </c>
      <c r="AE89">
        <v>17.066059190000001</v>
      </c>
      <c r="AF89">
        <v>5.3714309719999997</v>
      </c>
      <c r="AG89" t="s">
        <v>174</v>
      </c>
      <c r="AH89">
        <v>1</v>
      </c>
      <c r="AI89">
        <v>0</v>
      </c>
      <c r="AJ89">
        <v>0</v>
      </c>
      <c r="AK89">
        <v>0</v>
      </c>
      <c r="AL89" t="s">
        <v>155</v>
      </c>
      <c r="AM89" t="s">
        <v>49</v>
      </c>
      <c r="AN89">
        <v>-2.1070000000000002</v>
      </c>
      <c r="AO89">
        <v>0.95</v>
      </c>
      <c r="AP89">
        <v>8.0374999999999996</v>
      </c>
      <c r="AQ89">
        <v>0.56999999999999995</v>
      </c>
      <c r="AR89">
        <v>1</v>
      </c>
      <c r="AS89">
        <v>3.8146654010000001</v>
      </c>
    </row>
    <row r="90" spans="1:45" x14ac:dyDescent="0.2">
      <c r="A90" t="s">
        <v>221</v>
      </c>
      <c r="B90" t="s">
        <v>168</v>
      </c>
      <c r="C90" t="s">
        <v>169</v>
      </c>
      <c r="D90" t="s">
        <v>170</v>
      </c>
      <c r="E90">
        <v>29.243790000000001</v>
      </c>
      <c r="F90">
        <v>-91.073009999999996</v>
      </c>
      <c r="G90" t="s">
        <v>199</v>
      </c>
      <c r="H90" t="s">
        <v>176</v>
      </c>
      <c r="I90">
        <v>13.0109589</v>
      </c>
      <c r="J90">
        <v>8</v>
      </c>
      <c r="K90">
        <v>3.7</v>
      </c>
      <c r="L90" t="s">
        <v>68</v>
      </c>
      <c r="M90">
        <f t="shared" si="1"/>
        <v>4.3</v>
      </c>
      <c r="N90">
        <v>9.1300000000000008</v>
      </c>
      <c r="O90">
        <v>13.97</v>
      </c>
      <c r="P90">
        <v>0.85</v>
      </c>
      <c r="Q90">
        <v>0.44448799999999999</v>
      </c>
      <c r="R90">
        <v>-0.13359199999999999</v>
      </c>
      <c r="S90">
        <v>9.4488000000000003E-2</v>
      </c>
      <c r="T90">
        <v>0.57808000000000004</v>
      </c>
      <c r="U90">
        <v>0.21640799999999999</v>
      </c>
      <c r="V90">
        <v>0.39454746699999999</v>
      </c>
      <c r="W90">
        <v>-27.489955200000001</v>
      </c>
      <c r="X90">
        <v>4.6819552030000002</v>
      </c>
      <c r="Y90">
        <v>16.958844800000001</v>
      </c>
      <c r="Z90">
        <v>10.27</v>
      </c>
      <c r="AA90">
        <v>21.91</v>
      </c>
      <c r="AB90">
        <v>0.45</v>
      </c>
      <c r="AC90">
        <v>26.7</v>
      </c>
      <c r="AD90">
        <v>1508</v>
      </c>
      <c r="AE90">
        <v>13.232069729999999</v>
      </c>
      <c r="AF90">
        <v>5.1762600159999996</v>
      </c>
      <c r="AG90" t="s">
        <v>174</v>
      </c>
      <c r="AH90">
        <v>1</v>
      </c>
      <c r="AI90">
        <v>0</v>
      </c>
      <c r="AJ90">
        <v>0</v>
      </c>
      <c r="AK90">
        <v>0</v>
      </c>
      <c r="AL90" t="s">
        <v>155</v>
      </c>
      <c r="AM90" t="s">
        <v>49</v>
      </c>
      <c r="AN90">
        <v>-0.31900000000000001</v>
      </c>
      <c r="AO90">
        <v>0.83</v>
      </c>
      <c r="AP90">
        <v>15.63</v>
      </c>
      <c r="AQ90">
        <v>0.04</v>
      </c>
      <c r="AR90">
        <v>9</v>
      </c>
      <c r="AS90">
        <v>48.996865200000002</v>
      </c>
    </row>
    <row r="91" spans="1:45" x14ac:dyDescent="0.2">
      <c r="A91" t="s">
        <v>222</v>
      </c>
      <c r="B91" t="s">
        <v>168</v>
      </c>
      <c r="C91" t="s">
        <v>169</v>
      </c>
      <c r="D91" t="s">
        <v>170</v>
      </c>
      <c r="E91">
        <v>29.251049999999999</v>
      </c>
      <c r="F91">
        <v>-90.823009999999996</v>
      </c>
      <c r="G91" s="1">
        <v>39427</v>
      </c>
      <c r="H91" s="1">
        <v>44168</v>
      </c>
      <c r="I91">
        <v>12.33060109</v>
      </c>
      <c r="J91">
        <v>16.100000000000001</v>
      </c>
      <c r="K91">
        <v>8.1</v>
      </c>
      <c r="L91" t="s">
        <v>68</v>
      </c>
      <c r="M91">
        <f t="shared" si="1"/>
        <v>8.0000000000000018</v>
      </c>
      <c r="N91">
        <v>9.1300000000000008</v>
      </c>
      <c r="O91">
        <v>14.58</v>
      </c>
      <c r="P91">
        <v>0.85</v>
      </c>
      <c r="Q91">
        <v>0.49020799999999998</v>
      </c>
      <c r="R91">
        <v>-0.24027200000000001</v>
      </c>
      <c r="S91">
        <v>0.140208</v>
      </c>
      <c r="T91">
        <v>0.73048000000000002</v>
      </c>
      <c r="U91">
        <v>0.10972800000000001</v>
      </c>
      <c r="V91">
        <v>0.52086299400000002</v>
      </c>
      <c r="W91">
        <v>-38.488329530000001</v>
      </c>
      <c r="X91">
        <v>0.440329531</v>
      </c>
      <c r="Y91">
        <v>10.53247047</v>
      </c>
      <c r="Z91">
        <v>6.48</v>
      </c>
      <c r="AA91">
        <v>28.28</v>
      </c>
      <c r="AB91">
        <v>0.27500000000000002</v>
      </c>
      <c r="AC91">
        <v>26.7</v>
      </c>
      <c r="AD91">
        <v>1508</v>
      </c>
      <c r="AE91">
        <v>5.7211873869999996</v>
      </c>
      <c r="AF91">
        <v>3.7774375679999999</v>
      </c>
      <c r="AG91" t="s">
        <v>171</v>
      </c>
      <c r="AH91">
        <v>1</v>
      </c>
      <c r="AI91">
        <v>0</v>
      </c>
      <c r="AJ91">
        <v>0</v>
      </c>
      <c r="AK91">
        <v>0</v>
      </c>
      <c r="AL91" t="s">
        <v>155</v>
      </c>
      <c r="AM91" t="s">
        <v>49</v>
      </c>
      <c r="AN91">
        <v>-0.2611</v>
      </c>
      <c r="AO91">
        <v>0.95</v>
      </c>
      <c r="AP91">
        <v>80.935000000000002</v>
      </c>
      <c r="AQ91">
        <v>0.23</v>
      </c>
      <c r="AR91">
        <v>4</v>
      </c>
      <c r="AS91">
        <v>309.97702029999999</v>
      </c>
    </row>
    <row r="92" spans="1:45" x14ac:dyDescent="0.2">
      <c r="A92" t="s">
        <v>223</v>
      </c>
      <c r="B92" t="s">
        <v>168</v>
      </c>
      <c r="C92" t="s">
        <v>169</v>
      </c>
      <c r="D92" t="s">
        <v>170</v>
      </c>
      <c r="E92">
        <v>29.294630000000002</v>
      </c>
      <c r="F92">
        <v>-90.293279999999996</v>
      </c>
      <c r="G92" t="s">
        <v>224</v>
      </c>
      <c r="H92" s="1">
        <v>44047</v>
      </c>
      <c r="I92">
        <v>12.95901639</v>
      </c>
      <c r="J92">
        <v>12.5</v>
      </c>
      <c r="K92">
        <v>13.8</v>
      </c>
      <c r="L92" t="s">
        <v>68</v>
      </c>
      <c r="M92">
        <f t="shared" si="1"/>
        <v>-1.3000000000000007</v>
      </c>
      <c r="N92">
        <v>9.1300000000000008</v>
      </c>
      <c r="O92">
        <v>14.58</v>
      </c>
      <c r="P92">
        <v>0.85</v>
      </c>
      <c r="Q92">
        <v>0.438392</v>
      </c>
      <c r="R92">
        <v>-0.34695199999999998</v>
      </c>
      <c r="S92">
        <v>8.8391999999999998E-2</v>
      </c>
      <c r="T92">
        <v>0.78534400000000004</v>
      </c>
      <c r="U92">
        <v>3.0479999999999999E-3</v>
      </c>
      <c r="V92">
        <v>0.55433542499999999</v>
      </c>
      <c r="W92">
        <v>-41.892336229999998</v>
      </c>
      <c r="X92">
        <v>-1.6420637659999999</v>
      </c>
      <c r="Y92">
        <v>1.9468637660000001</v>
      </c>
      <c r="Z92">
        <v>0.78</v>
      </c>
      <c r="AA92">
        <v>19.899999999999999</v>
      </c>
      <c r="AB92">
        <v>0.22650000000000001</v>
      </c>
      <c r="AC92">
        <v>26.7</v>
      </c>
      <c r="AD92">
        <v>1508</v>
      </c>
      <c r="AE92">
        <v>9.9801949259999994</v>
      </c>
      <c r="AF92">
        <v>3.5849734620000002</v>
      </c>
      <c r="AG92" t="s">
        <v>174</v>
      </c>
      <c r="AH92">
        <v>1</v>
      </c>
      <c r="AI92">
        <v>0</v>
      </c>
      <c r="AJ92">
        <v>0</v>
      </c>
      <c r="AK92">
        <v>0</v>
      </c>
      <c r="AL92" t="s">
        <v>155</v>
      </c>
      <c r="AM92" t="s">
        <v>49</v>
      </c>
      <c r="AN92">
        <v>-0.16370000000000001</v>
      </c>
      <c r="AO92">
        <v>0.96</v>
      </c>
      <c r="AP92">
        <v>7.43</v>
      </c>
      <c r="AQ92">
        <v>0.5</v>
      </c>
      <c r="AR92">
        <v>1000</v>
      </c>
      <c r="AS92">
        <v>45.3879047</v>
      </c>
    </row>
    <row r="93" spans="1:45" x14ac:dyDescent="0.2">
      <c r="A93" t="s">
        <v>225</v>
      </c>
      <c r="B93" t="s">
        <v>168</v>
      </c>
      <c r="C93" t="s">
        <v>169</v>
      </c>
      <c r="D93" t="s">
        <v>170</v>
      </c>
      <c r="E93">
        <v>29.214759999999998</v>
      </c>
      <c r="F93">
        <v>-90.791759999999996</v>
      </c>
      <c r="G93" t="s">
        <v>213</v>
      </c>
      <c r="H93" s="1">
        <v>44168</v>
      </c>
      <c r="I93">
        <v>12.912568309999999</v>
      </c>
      <c r="J93">
        <v>14.2</v>
      </c>
      <c r="K93">
        <v>9.1999999999999993</v>
      </c>
      <c r="L93" t="s">
        <v>68</v>
      </c>
      <c r="M93">
        <f t="shared" si="1"/>
        <v>5</v>
      </c>
      <c r="N93">
        <v>9.1300000000000008</v>
      </c>
      <c r="O93">
        <v>13.71</v>
      </c>
      <c r="P93">
        <v>0.85</v>
      </c>
      <c r="Q93">
        <v>0.46277600000000002</v>
      </c>
      <c r="R93">
        <v>-0.246368</v>
      </c>
      <c r="S93">
        <v>0.112776</v>
      </c>
      <c r="T93">
        <v>0.709144</v>
      </c>
      <c r="U93">
        <v>0.103632</v>
      </c>
      <c r="V93">
        <v>0.50644721000000004</v>
      </c>
      <c r="W93">
        <v>-37.09498765</v>
      </c>
      <c r="X93">
        <v>1.180587654</v>
      </c>
      <c r="Y93">
        <v>9.1826123460000009</v>
      </c>
      <c r="Z93">
        <v>4.51</v>
      </c>
      <c r="AA93">
        <v>24.85</v>
      </c>
      <c r="AB93">
        <v>0.29499999999999998</v>
      </c>
      <c r="AC93">
        <v>26.7</v>
      </c>
      <c r="AD93">
        <v>1508</v>
      </c>
      <c r="AE93">
        <v>10.193445090000001</v>
      </c>
      <c r="AF93">
        <v>3.6296792889999998</v>
      </c>
      <c r="AG93" t="s">
        <v>174</v>
      </c>
      <c r="AH93">
        <v>1</v>
      </c>
      <c r="AI93">
        <v>0</v>
      </c>
      <c r="AJ93">
        <v>0</v>
      </c>
      <c r="AK93">
        <v>0</v>
      </c>
      <c r="AL93" t="s">
        <v>155</v>
      </c>
      <c r="AM93" t="s">
        <v>49</v>
      </c>
      <c r="AN93">
        <v>-0.17499999999999999</v>
      </c>
      <c r="AO93">
        <v>0.97570000000000001</v>
      </c>
      <c r="AP93">
        <v>29.2</v>
      </c>
      <c r="AQ93">
        <v>0.04</v>
      </c>
      <c r="AR93">
        <v>1000</v>
      </c>
      <c r="AS93">
        <v>166.85714290000001</v>
      </c>
    </row>
    <row r="94" spans="1:45" x14ac:dyDescent="0.2">
      <c r="A94" t="s">
        <v>226</v>
      </c>
      <c r="B94" t="s">
        <v>168</v>
      </c>
      <c r="C94" t="s">
        <v>169</v>
      </c>
      <c r="D94" t="s">
        <v>170</v>
      </c>
      <c r="E94">
        <v>29.294650000000001</v>
      </c>
      <c r="F94">
        <v>-90.325460000000007</v>
      </c>
      <c r="G94" t="s">
        <v>224</v>
      </c>
      <c r="H94" s="1">
        <v>44047</v>
      </c>
      <c r="I94">
        <v>12.95901639</v>
      </c>
      <c r="J94">
        <v>14.1</v>
      </c>
      <c r="K94">
        <v>9.1999999999999993</v>
      </c>
      <c r="L94" t="s">
        <v>68</v>
      </c>
      <c r="M94">
        <f t="shared" si="1"/>
        <v>4.9000000000000004</v>
      </c>
      <c r="N94">
        <v>9.1300000000000008</v>
      </c>
      <c r="O94">
        <v>14.58</v>
      </c>
      <c r="P94">
        <v>0.85</v>
      </c>
      <c r="Q94">
        <v>0.47192000000000001</v>
      </c>
      <c r="R94">
        <v>-0.36219200000000001</v>
      </c>
      <c r="S94">
        <v>0.12192</v>
      </c>
      <c r="T94">
        <v>0.83411199999999996</v>
      </c>
      <c r="U94">
        <v>-1.2192E-2</v>
      </c>
      <c r="V94">
        <v>0.58039208200000003</v>
      </c>
      <c r="W94">
        <v>-44.72411348</v>
      </c>
      <c r="X94">
        <v>-3.687086517</v>
      </c>
      <c r="Y94">
        <v>2.4678865170000002</v>
      </c>
      <c r="Z94">
        <v>5.38</v>
      </c>
      <c r="AA94">
        <v>18.91</v>
      </c>
      <c r="AB94">
        <v>0.26350000000000001</v>
      </c>
      <c r="AC94">
        <v>26.7</v>
      </c>
      <c r="AD94">
        <v>1508</v>
      </c>
      <c r="AE94">
        <v>9.9801949259999994</v>
      </c>
      <c r="AF94">
        <v>3.5849734620000002</v>
      </c>
      <c r="AG94" t="s">
        <v>174</v>
      </c>
      <c r="AH94">
        <v>1</v>
      </c>
      <c r="AI94">
        <v>0</v>
      </c>
      <c r="AJ94">
        <v>0</v>
      </c>
      <c r="AK94">
        <v>0</v>
      </c>
      <c r="AL94" t="s">
        <v>155</v>
      </c>
      <c r="AM94" t="s">
        <v>49</v>
      </c>
      <c r="AN94">
        <v>-9.4299999999999995E-2</v>
      </c>
      <c r="AO94">
        <v>0.96579999999999999</v>
      </c>
      <c r="AP94">
        <v>10.5425</v>
      </c>
      <c r="AQ94">
        <v>0.37</v>
      </c>
      <c r="AR94">
        <v>527</v>
      </c>
      <c r="AS94">
        <v>111.79745490000001</v>
      </c>
    </row>
    <row r="95" spans="1:45" x14ac:dyDescent="0.2">
      <c r="A95" t="s">
        <v>227</v>
      </c>
      <c r="B95" t="s">
        <v>168</v>
      </c>
      <c r="C95" t="s">
        <v>169</v>
      </c>
      <c r="D95" t="s">
        <v>170</v>
      </c>
      <c r="E95">
        <v>29.32367</v>
      </c>
      <c r="F95">
        <v>-90.324709999999996</v>
      </c>
      <c r="G95" s="1">
        <v>39305</v>
      </c>
      <c r="H95" s="1">
        <v>44047</v>
      </c>
      <c r="I95">
        <v>12.41530055</v>
      </c>
      <c r="J95">
        <v>9.1999999999999993</v>
      </c>
      <c r="K95">
        <v>10.1</v>
      </c>
      <c r="L95" t="s">
        <v>68</v>
      </c>
      <c r="M95">
        <f t="shared" si="1"/>
        <v>-0.90000000000000036</v>
      </c>
      <c r="N95">
        <v>9.1300000000000008</v>
      </c>
      <c r="O95">
        <v>14.58</v>
      </c>
      <c r="P95">
        <v>0.85</v>
      </c>
      <c r="Q95">
        <v>0.41705599999999998</v>
      </c>
      <c r="R95">
        <v>-0.33171200000000001</v>
      </c>
      <c r="S95">
        <v>6.7056000000000004E-2</v>
      </c>
      <c r="T95">
        <v>0.74876799999999999</v>
      </c>
      <c r="U95">
        <v>1.8287999999999999E-2</v>
      </c>
      <c r="V95">
        <v>0.53256549399999997</v>
      </c>
      <c r="W95">
        <v>-39.650605650000003</v>
      </c>
      <c r="X95">
        <v>-0.22619434699999999</v>
      </c>
      <c r="Y95">
        <v>2.0549943470000001</v>
      </c>
      <c r="Z95">
        <v>4.4800000000000004</v>
      </c>
      <c r="AA95">
        <v>17</v>
      </c>
      <c r="AB95">
        <v>0.22500000000000001</v>
      </c>
      <c r="AC95">
        <v>26.7</v>
      </c>
      <c r="AD95">
        <v>1508</v>
      </c>
      <c r="AE95">
        <v>9.9801949259999994</v>
      </c>
      <c r="AF95">
        <v>3.5849734620000002</v>
      </c>
      <c r="AG95" t="s">
        <v>174</v>
      </c>
      <c r="AH95">
        <v>1</v>
      </c>
      <c r="AI95">
        <v>0</v>
      </c>
      <c r="AJ95">
        <v>0</v>
      </c>
      <c r="AK95">
        <v>0</v>
      </c>
      <c r="AL95" t="s">
        <v>155</v>
      </c>
      <c r="AM95" t="s">
        <v>49</v>
      </c>
      <c r="AN95">
        <v>-0.113</v>
      </c>
      <c r="AO95">
        <v>0.98770000000000002</v>
      </c>
      <c r="AP95">
        <v>22.197500000000002</v>
      </c>
      <c r="AQ95">
        <v>0.19</v>
      </c>
      <c r="AR95">
        <v>1000</v>
      </c>
      <c r="AS95">
        <v>196.43805309999999</v>
      </c>
    </row>
    <row r="96" spans="1:45" x14ac:dyDescent="0.2">
      <c r="A96" t="s">
        <v>228</v>
      </c>
      <c r="B96" t="s">
        <v>168</v>
      </c>
      <c r="C96" t="s">
        <v>169</v>
      </c>
      <c r="D96" t="s">
        <v>170</v>
      </c>
      <c r="E96">
        <v>29.243790000000001</v>
      </c>
      <c r="F96">
        <v>-91.10454</v>
      </c>
      <c r="G96" t="s">
        <v>206</v>
      </c>
      <c r="H96" t="s">
        <v>229</v>
      </c>
      <c r="I96">
        <v>13.09041096</v>
      </c>
      <c r="J96">
        <v>7.5</v>
      </c>
      <c r="K96">
        <v>7.3</v>
      </c>
      <c r="L96" t="s">
        <v>68</v>
      </c>
      <c r="M96">
        <f t="shared" si="1"/>
        <v>0.20000000000000018</v>
      </c>
      <c r="N96">
        <v>9.1300000000000008</v>
      </c>
      <c r="O96">
        <v>14.58</v>
      </c>
      <c r="P96">
        <v>0.85</v>
      </c>
      <c r="Q96">
        <v>0.42315199999999997</v>
      </c>
      <c r="R96">
        <v>-0.25246400000000002</v>
      </c>
      <c r="S96">
        <v>7.3151999999999995E-2</v>
      </c>
      <c r="T96">
        <v>0.67561599999999999</v>
      </c>
      <c r="U96">
        <v>9.7535999999999998E-2</v>
      </c>
      <c r="V96">
        <v>0.48195424599999998</v>
      </c>
      <c r="W96">
        <v>-34.818422990000002</v>
      </c>
      <c r="X96">
        <v>2.2568229930000001</v>
      </c>
      <c r="Y96">
        <v>7.4967770070000004</v>
      </c>
      <c r="Z96">
        <v>7.28</v>
      </c>
      <c r="AA96">
        <v>31.91</v>
      </c>
      <c r="AB96">
        <v>0.29649999999999999</v>
      </c>
      <c r="AC96">
        <v>26.7</v>
      </c>
      <c r="AD96">
        <v>1508</v>
      </c>
      <c r="AE96">
        <v>15.565311550000001</v>
      </c>
      <c r="AF96">
        <v>5.1259014089999999</v>
      </c>
      <c r="AG96" t="s">
        <v>174</v>
      </c>
      <c r="AH96">
        <v>1</v>
      </c>
      <c r="AI96">
        <v>0</v>
      </c>
      <c r="AJ96">
        <v>0</v>
      </c>
      <c r="AK96">
        <v>0</v>
      </c>
      <c r="AL96" t="s">
        <v>155</v>
      </c>
      <c r="AM96" t="s">
        <v>49</v>
      </c>
      <c r="AN96">
        <v>-5.4600000000000003E-2</v>
      </c>
      <c r="AO96">
        <v>0.99</v>
      </c>
      <c r="AP96" t="s">
        <v>68</v>
      </c>
      <c r="AQ96">
        <v>0.3</v>
      </c>
      <c r="AR96">
        <v>12</v>
      </c>
      <c r="AS96" t="s">
        <v>68</v>
      </c>
    </row>
    <row r="97" spans="1:45" x14ac:dyDescent="0.2">
      <c r="A97" t="s">
        <v>230</v>
      </c>
      <c r="B97" t="s">
        <v>168</v>
      </c>
      <c r="C97" t="s">
        <v>169</v>
      </c>
      <c r="D97" t="s">
        <v>170</v>
      </c>
      <c r="E97">
        <v>29.272819999999999</v>
      </c>
      <c r="F97">
        <v>-91.073009999999996</v>
      </c>
      <c r="G97" t="s">
        <v>206</v>
      </c>
      <c r="H97" t="s">
        <v>229</v>
      </c>
      <c r="I97">
        <v>13.09041096</v>
      </c>
      <c r="J97">
        <v>6.5</v>
      </c>
      <c r="K97">
        <v>5.0999999999999996</v>
      </c>
      <c r="L97" t="s">
        <v>68</v>
      </c>
      <c r="M97">
        <f t="shared" si="1"/>
        <v>1.4000000000000004</v>
      </c>
      <c r="N97">
        <v>9.1300000000000008</v>
      </c>
      <c r="O97">
        <v>13.71</v>
      </c>
      <c r="P97">
        <v>0.85</v>
      </c>
      <c r="Q97">
        <v>0.474968</v>
      </c>
      <c r="R97">
        <v>-0.179312</v>
      </c>
      <c r="S97">
        <v>0.124968</v>
      </c>
      <c r="T97">
        <v>0.65427999999999997</v>
      </c>
      <c r="U97">
        <v>0.17068800000000001</v>
      </c>
      <c r="V97">
        <v>0.46506082999999998</v>
      </c>
      <c r="W97">
        <v>-33.310099299999997</v>
      </c>
      <c r="X97">
        <v>2.8820992990000001</v>
      </c>
      <c r="Y97">
        <v>14.186700699999999</v>
      </c>
      <c r="Z97">
        <v>8.61</v>
      </c>
      <c r="AA97">
        <v>16.149999999999999</v>
      </c>
      <c r="AB97">
        <v>0.32850000000000001</v>
      </c>
      <c r="AC97">
        <v>26.7</v>
      </c>
      <c r="AD97">
        <v>1508</v>
      </c>
      <c r="AE97">
        <v>6.1866049969999999</v>
      </c>
      <c r="AF97">
        <v>1.589849471</v>
      </c>
      <c r="AG97" t="s">
        <v>171</v>
      </c>
      <c r="AH97">
        <v>1</v>
      </c>
      <c r="AI97">
        <v>0</v>
      </c>
      <c r="AJ97">
        <v>0</v>
      </c>
      <c r="AK97">
        <v>0</v>
      </c>
      <c r="AL97" t="s">
        <v>155</v>
      </c>
      <c r="AM97" t="s">
        <v>49</v>
      </c>
      <c r="AN97">
        <v>0.1096</v>
      </c>
      <c r="AO97">
        <v>0.48110000000000003</v>
      </c>
      <c r="AP97">
        <v>26.55</v>
      </c>
      <c r="AQ97">
        <v>0.35</v>
      </c>
      <c r="AR97">
        <v>7</v>
      </c>
      <c r="AS97">
        <v>1000</v>
      </c>
    </row>
    <row r="98" spans="1:45" x14ac:dyDescent="0.2">
      <c r="A98" t="s">
        <v>231</v>
      </c>
      <c r="B98" t="s">
        <v>168</v>
      </c>
      <c r="C98" t="s">
        <v>169</v>
      </c>
      <c r="D98" t="s">
        <v>170</v>
      </c>
      <c r="E98">
        <v>29.272860000000001</v>
      </c>
      <c r="F98">
        <v>-90.387720000000002</v>
      </c>
      <c r="G98" s="1">
        <v>39428</v>
      </c>
      <c r="H98" s="1">
        <v>43926</v>
      </c>
      <c r="I98">
        <v>12.39344262</v>
      </c>
      <c r="J98">
        <v>14.5</v>
      </c>
      <c r="K98">
        <v>10.6</v>
      </c>
      <c r="L98" t="s">
        <v>68</v>
      </c>
      <c r="M98">
        <f t="shared" si="1"/>
        <v>3.9000000000000004</v>
      </c>
      <c r="N98">
        <v>9.1300000000000008</v>
      </c>
      <c r="O98">
        <v>14.58</v>
      </c>
      <c r="P98">
        <v>0.85</v>
      </c>
      <c r="Q98">
        <v>0.45058399999999998</v>
      </c>
      <c r="R98">
        <v>-0.27989599999999998</v>
      </c>
      <c r="S98">
        <v>0.10058400000000001</v>
      </c>
      <c r="T98">
        <v>0.73048000000000002</v>
      </c>
      <c r="U98">
        <v>7.0104E-2</v>
      </c>
      <c r="V98">
        <v>0.52086299400000002</v>
      </c>
      <c r="W98">
        <v>-38.488329530000001</v>
      </c>
      <c r="X98">
        <v>0.440329531</v>
      </c>
      <c r="Y98">
        <v>6.570070469</v>
      </c>
      <c r="Z98">
        <v>3.98</v>
      </c>
      <c r="AA98">
        <v>18.43</v>
      </c>
      <c r="AB98">
        <v>0.33850000000000002</v>
      </c>
      <c r="AC98">
        <v>26.7</v>
      </c>
      <c r="AD98">
        <v>1508</v>
      </c>
      <c r="AE98">
        <v>19.214438439999999</v>
      </c>
      <c r="AF98">
        <v>5.230787276</v>
      </c>
      <c r="AG98" t="s">
        <v>174</v>
      </c>
      <c r="AH98">
        <v>1</v>
      </c>
      <c r="AI98">
        <v>0</v>
      </c>
      <c r="AJ98">
        <v>0</v>
      </c>
      <c r="AK98">
        <v>0</v>
      </c>
      <c r="AL98" t="s">
        <v>155</v>
      </c>
      <c r="AM98" t="s">
        <v>49</v>
      </c>
      <c r="AN98">
        <v>-4.1599999999999998E-2</v>
      </c>
      <c r="AO98">
        <v>0.45</v>
      </c>
      <c r="AP98">
        <v>8.5425000000000004</v>
      </c>
      <c r="AQ98">
        <v>0.13</v>
      </c>
      <c r="AR98">
        <v>1000</v>
      </c>
      <c r="AS98">
        <v>205.34855769999999</v>
      </c>
    </row>
    <row r="99" spans="1:45" x14ac:dyDescent="0.2">
      <c r="A99" t="s">
        <v>232</v>
      </c>
      <c r="B99" t="s">
        <v>168</v>
      </c>
      <c r="C99" t="s">
        <v>169</v>
      </c>
      <c r="D99" t="s">
        <v>170</v>
      </c>
      <c r="E99">
        <v>29.323650000000001</v>
      </c>
      <c r="F99">
        <v>-90.386420000000001</v>
      </c>
      <c r="G99" t="s">
        <v>224</v>
      </c>
      <c r="H99" s="1">
        <v>44078</v>
      </c>
      <c r="I99">
        <v>12.961748630000001</v>
      </c>
      <c r="J99">
        <v>7.2</v>
      </c>
      <c r="K99">
        <v>8.1</v>
      </c>
      <c r="L99" t="s">
        <v>68</v>
      </c>
      <c r="M99">
        <f t="shared" si="1"/>
        <v>-0.89999999999999947</v>
      </c>
      <c r="N99">
        <v>9.1300000000000008</v>
      </c>
      <c r="O99">
        <v>14.58</v>
      </c>
      <c r="P99">
        <v>0.85</v>
      </c>
      <c r="Q99">
        <v>0.47192000000000001</v>
      </c>
      <c r="R99">
        <v>-0.25551200000000002</v>
      </c>
      <c r="S99">
        <v>0.12192</v>
      </c>
      <c r="T99">
        <v>0.72743199999999997</v>
      </c>
      <c r="U99">
        <v>9.4488000000000003E-2</v>
      </c>
      <c r="V99">
        <v>0.51885537100000001</v>
      </c>
      <c r="W99">
        <v>-38.291791660000001</v>
      </c>
      <c r="X99">
        <v>0.54859165899999995</v>
      </c>
      <c r="Y99">
        <v>8.9002083410000008</v>
      </c>
      <c r="Z99">
        <v>6.48</v>
      </c>
      <c r="AA99">
        <v>20.32</v>
      </c>
      <c r="AB99">
        <v>0.36499999999999999</v>
      </c>
      <c r="AC99">
        <v>26.7</v>
      </c>
      <c r="AD99">
        <v>1508</v>
      </c>
      <c r="AE99">
        <v>14.159499650000001</v>
      </c>
      <c r="AF99">
        <v>3.5731774160000001</v>
      </c>
      <c r="AG99" t="s">
        <v>174</v>
      </c>
      <c r="AH99">
        <v>1</v>
      </c>
      <c r="AI99">
        <v>0</v>
      </c>
      <c r="AJ99">
        <v>0</v>
      </c>
      <c r="AK99">
        <v>0</v>
      </c>
      <c r="AL99" t="s">
        <v>155</v>
      </c>
      <c r="AM99" t="s">
        <v>49</v>
      </c>
      <c r="AN99">
        <v>-6.2399999999999997E-2</v>
      </c>
      <c r="AO99">
        <v>0.43430000000000002</v>
      </c>
      <c r="AP99" t="s">
        <v>68</v>
      </c>
      <c r="AQ99">
        <v>0.36</v>
      </c>
      <c r="AR99">
        <v>5</v>
      </c>
      <c r="AS99" t="s">
        <v>68</v>
      </c>
    </row>
    <row r="100" spans="1:45" x14ac:dyDescent="0.2">
      <c r="A100" t="s">
        <v>233</v>
      </c>
      <c r="B100" t="s">
        <v>168</v>
      </c>
      <c r="C100" t="s">
        <v>169</v>
      </c>
      <c r="D100" t="s">
        <v>170</v>
      </c>
      <c r="E100">
        <v>29.309149999999999</v>
      </c>
      <c r="F100">
        <v>-90.355930000000001</v>
      </c>
      <c r="G100" t="s">
        <v>224</v>
      </c>
      <c r="H100" s="1">
        <v>43926</v>
      </c>
      <c r="I100">
        <v>13.030136990000001</v>
      </c>
      <c r="J100">
        <v>12.2</v>
      </c>
      <c r="K100">
        <v>8.4</v>
      </c>
      <c r="L100" t="s">
        <v>68</v>
      </c>
      <c r="M100">
        <f t="shared" si="1"/>
        <v>3.7999999999999989</v>
      </c>
      <c r="N100">
        <v>9.1300000000000008</v>
      </c>
      <c r="O100">
        <v>13.71</v>
      </c>
      <c r="P100">
        <v>0.85</v>
      </c>
      <c r="Q100">
        <v>0.46277600000000002</v>
      </c>
      <c r="R100">
        <v>-0.267704</v>
      </c>
      <c r="S100">
        <v>0.112776</v>
      </c>
      <c r="T100">
        <v>0.73048000000000002</v>
      </c>
      <c r="U100">
        <v>8.2295999999999994E-2</v>
      </c>
      <c r="V100">
        <v>0.52086299400000002</v>
      </c>
      <c r="W100">
        <v>-38.488329530000001</v>
      </c>
      <c r="X100">
        <v>0.440329531</v>
      </c>
      <c r="Y100">
        <v>7.7892704689999999</v>
      </c>
      <c r="Z100">
        <v>5.31</v>
      </c>
      <c r="AA100">
        <v>19.085000000000001</v>
      </c>
      <c r="AB100">
        <v>0.33200000000000002</v>
      </c>
      <c r="AC100">
        <v>26.7</v>
      </c>
      <c r="AD100">
        <v>1508</v>
      </c>
      <c r="AE100">
        <v>12.39163725</v>
      </c>
      <c r="AF100">
        <v>3.0873731009999998</v>
      </c>
      <c r="AG100" t="s">
        <v>174</v>
      </c>
      <c r="AH100">
        <v>1</v>
      </c>
      <c r="AI100">
        <v>0</v>
      </c>
      <c r="AJ100">
        <v>0</v>
      </c>
      <c r="AK100">
        <v>0</v>
      </c>
      <c r="AL100" t="s">
        <v>155</v>
      </c>
      <c r="AM100" t="s">
        <v>49</v>
      </c>
      <c r="AN100">
        <v>-0.15260000000000001</v>
      </c>
      <c r="AO100">
        <v>0.85709999999999997</v>
      </c>
      <c r="AP100">
        <v>16.425000000000001</v>
      </c>
      <c r="AQ100">
        <v>0.33</v>
      </c>
      <c r="AR100">
        <v>6</v>
      </c>
      <c r="AS100">
        <v>107.63433809999999</v>
      </c>
    </row>
    <row r="101" spans="1:45" x14ac:dyDescent="0.2">
      <c r="A101" t="s">
        <v>234</v>
      </c>
      <c r="B101" t="s">
        <v>168</v>
      </c>
      <c r="C101" t="s">
        <v>169</v>
      </c>
      <c r="D101" t="s">
        <v>170</v>
      </c>
      <c r="E101">
        <v>29.330909999999999</v>
      </c>
      <c r="F101">
        <v>-90.418210000000002</v>
      </c>
      <c r="G101" t="s">
        <v>224</v>
      </c>
      <c r="H101" s="1">
        <v>43926</v>
      </c>
      <c r="I101">
        <v>13.030136990000001</v>
      </c>
      <c r="J101">
        <v>8</v>
      </c>
      <c r="K101">
        <v>7</v>
      </c>
      <c r="L101" t="s">
        <v>68</v>
      </c>
      <c r="M101">
        <f t="shared" si="1"/>
        <v>1</v>
      </c>
      <c r="N101">
        <v>9.1300000000000008</v>
      </c>
      <c r="O101">
        <v>14.58</v>
      </c>
      <c r="P101">
        <v>0.85</v>
      </c>
      <c r="Q101">
        <v>0.48106399999999999</v>
      </c>
      <c r="R101">
        <v>-0.35304799999999997</v>
      </c>
      <c r="S101">
        <v>0.13106400000000001</v>
      </c>
      <c r="T101">
        <v>0.83411199999999996</v>
      </c>
      <c r="U101">
        <v>-3.0479999999999999E-3</v>
      </c>
      <c r="V101">
        <v>0.58039208200000003</v>
      </c>
      <c r="W101">
        <v>-44.72411348</v>
      </c>
      <c r="X101">
        <v>-3.687086517</v>
      </c>
      <c r="Y101">
        <v>3.3822865169999998</v>
      </c>
      <c r="Z101">
        <v>7.58</v>
      </c>
      <c r="AA101">
        <v>23.46</v>
      </c>
      <c r="AB101">
        <v>0.255</v>
      </c>
      <c r="AC101">
        <v>26.7</v>
      </c>
      <c r="AD101">
        <v>1508</v>
      </c>
      <c r="AE101">
        <v>18.80602876</v>
      </c>
      <c r="AF101">
        <v>5.6901623719999996</v>
      </c>
      <c r="AG101" t="s">
        <v>174</v>
      </c>
      <c r="AH101">
        <v>1</v>
      </c>
      <c r="AI101">
        <v>0</v>
      </c>
      <c r="AJ101">
        <v>0</v>
      </c>
      <c r="AK101">
        <v>0</v>
      </c>
      <c r="AL101" t="s">
        <v>155</v>
      </c>
      <c r="AM101" t="s">
        <v>49</v>
      </c>
      <c r="AN101">
        <v>-0.34110000000000001</v>
      </c>
      <c r="AO101">
        <v>0.99</v>
      </c>
      <c r="AP101">
        <v>88.927499999999995</v>
      </c>
      <c r="AQ101">
        <v>0.09</v>
      </c>
      <c r="AR101">
        <v>0</v>
      </c>
      <c r="AS101">
        <v>260.70800350000002</v>
      </c>
    </row>
    <row r="102" spans="1:45" x14ac:dyDescent="0.2">
      <c r="A102" t="s">
        <v>235</v>
      </c>
      <c r="B102" t="s">
        <v>168</v>
      </c>
      <c r="C102" t="s">
        <v>169</v>
      </c>
      <c r="D102" t="s">
        <v>170</v>
      </c>
      <c r="E102">
        <v>29.309139999999999</v>
      </c>
      <c r="F102">
        <v>-90.512270000000001</v>
      </c>
      <c r="G102" s="1">
        <v>39214</v>
      </c>
      <c r="H102" t="s">
        <v>182</v>
      </c>
      <c r="I102">
        <v>12.37431694</v>
      </c>
      <c r="J102">
        <v>19.2</v>
      </c>
      <c r="K102">
        <v>13.6</v>
      </c>
      <c r="L102" t="s">
        <v>68</v>
      </c>
      <c r="M102">
        <f t="shared" si="1"/>
        <v>5.6</v>
      </c>
      <c r="N102">
        <v>9.1300000000000008</v>
      </c>
      <c r="O102">
        <v>14.58</v>
      </c>
      <c r="P102">
        <v>0.85</v>
      </c>
      <c r="Q102">
        <v>0.45667999999999997</v>
      </c>
      <c r="R102">
        <v>-0.31037599999999999</v>
      </c>
      <c r="S102">
        <v>0.10668</v>
      </c>
      <c r="T102">
        <v>0.76705599999999996</v>
      </c>
      <c r="U102">
        <v>3.9623999999999999E-2</v>
      </c>
      <c r="V102">
        <v>0.54370997700000001</v>
      </c>
      <c r="W102">
        <v>-40.784833939999999</v>
      </c>
      <c r="X102">
        <v>-0.92076606400000005</v>
      </c>
      <c r="Y102">
        <v>4.8831660640000001</v>
      </c>
      <c r="Z102">
        <v>0.98</v>
      </c>
      <c r="AA102">
        <v>19.52</v>
      </c>
      <c r="AB102">
        <v>0.40500000000000003</v>
      </c>
      <c r="AC102">
        <v>26.7</v>
      </c>
      <c r="AD102">
        <v>1508</v>
      </c>
      <c r="AE102">
        <v>14.07737756</v>
      </c>
      <c r="AF102">
        <v>4.095786156</v>
      </c>
      <c r="AG102" t="s">
        <v>174</v>
      </c>
      <c r="AH102">
        <v>1</v>
      </c>
      <c r="AI102">
        <v>0</v>
      </c>
      <c r="AJ102">
        <v>0</v>
      </c>
      <c r="AK102">
        <v>0</v>
      </c>
      <c r="AL102" t="s">
        <v>155</v>
      </c>
      <c r="AM102" t="s">
        <v>49</v>
      </c>
      <c r="AN102">
        <v>-0.48089999999999999</v>
      </c>
      <c r="AO102">
        <v>0.98819999999999997</v>
      </c>
      <c r="AP102">
        <v>23.587499999999999</v>
      </c>
      <c r="AQ102">
        <v>0.56000000000000005</v>
      </c>
      <c r="AR102">
        <v>1000</v>
      </c>
      <c r="AS102">
        <v>49.048658760000002</v>
      </c>
    </row>
    <row r="103" spans="1:45" x14ac:dyDescent="0.2">
      <c r="A103" t="s">
        <v>236</v>
      </c>
      <c r="B103" t="s">
        <v>168</v>
      </c>
      <c r="C103" t="s">
        <v>169</v>
      </c>
      <c r="D103" t="s">
        <v>170</v>
      </c>
      <c r="E103">
        <v>29.171220000000002</v>
      </c>
      <c r="F103">
        <v>-90.761290000000002</v>
      </c>
      <c r="G103" t="s">
        <v>237</v>
      </c>
      <c r="H103" t="s">
        <v>238</v>
      </c>
      <c r="I103">
        <v>12.346994540000001</v>
      </c>
      <c r="J103">
        <v>25.7</v>
      </c>
      <c r="K103">
        <v>14.3</v>
      </c>
      <c r="L103" t="s">
        <v>68</v>
      </c>
      <c r="M103">
        <f t="shared" si="1"/>
        <v>11.399999999999999</v>
      </c>
      <c r="N103">
        <v>9.1300000000000008</v>
      </c>
      <c r="O103">
        <v>14.58</v>
      </c>
      <c r="P103">
        <v>0.85</v>
      </c>
      <c r="Q103">
        <v>0.478016</v>
      </c>
      <c r="R103">
        <v>-0.32561600000000002</v>
      </c>
      <c r="S103">
        <v>0.12801599999999999</v>
      </c>
      <c r="T103">
        <v>0.80363200000000001</v>
      </c>
      <c r="U103">
        <v>2.4383999999999999E-2</v>
      </c>
      <c r="V103">
        <v>0.56447727299999995</v>
      </c>
      <c r="W103">
        <v>-42.974343099999999</v>
      </c>
      <c r="X103">
        <v>-2.3888568970000001</v>
      </c>
      <c r="Y103">
        <v>4.8272568969999998</v>
      </c>
      <c r="Z103">
        <v>0.28000000000000003</v>
      </c>
      <c r="AA103">
        <v>15.69</v>
      </c>
      <c r="AB103">
        <v>0.45150000000000001</v>
      </c>
      <c r="AC103">
        <v>26.7</v>
      </c>
      <c r="AD103">
        <v>1508</v>
      </c>
      <c r="AE103">
        <v>9.9396074609999996</v>
      </c>
      <c r="AF103">
        <v>2.3436428880000002</v>
      </c>
      <c r="AG103" t="s">
        <v>174</v>
      </c>
      <c r="AH103">
        <v>1</v>
      </c>
      <c r="AI103">
        <v>0</v>
      </c>
      <c r="AJ103">
        <v>0</v>
      </c>
      <c r="AK103">
        <v>0</v>
      </c>
      <c r="AL103" t="s">
        <v>155</v>
      </c>
      <c r="AM103" t="s">
        <v>49</v>
      </c>
      <c r="AN103">
        <v>-9.4999999999999998E-3</v>
      </c>
      <c r="AO103">
        <v>0.70660000000000001</v>
      </c>
      <c r="AP103">
        <v>10.15</v>
      </c>
      <c r="AQ103">
        <v>0.66</v>
      </c>
      <c r="AR103">
        <v>1000</v>
      </c>
      <c r="AS103">
        <v>1068.421053</v>
      </c>
    </row>
    <row r="104" spans="1:45" x14ac:dyDescent="0.2">
      <c r="A104" t="s">
        <v>239</v>
      </c>
      <c r="B104" t="s">
        <v>168</v>
      </c>
      <c r="C104" t="s">
        <v>169</v>
      </c>
      <c r="D104" t="s">
        <v>170</v>
      </c>
      <c r="E104">
        <v>29.163969999999999</v>
      </c>
      <c r="F104">
        <v>-90.699619999999996</v>
      </c>
      <c r="G104" t="s">
        <v>199</v>
      </c>
      <c r="H104" t="s">
        <v>240</v>
      </c>
      <c r="I104">
        <v>12.91530055</v>
      </c>
      <c r="J104">
        <v>22.4</v>
      </c>
      <c r="K104">
        <v>4.3</v>
      </c>
      <c r="L104" t="s">
        <v>68</v>
      </c>
      <c r="M104">
        <f t="shared" si="1"/>
        <v>18.099999999999998</v>
      </c>
      <c r="N104">
        <v>9.1300000000000008</v>
      </c>
      <c r="O104">
        <v>13.71</v>
      </c>
      <c r="P104">
        <v>0.85</v>
      </c>
      <c r="Q104">
        <v>0.48411199999999999</v>
      </c>
      <c r="R104">
        <v>-0.24027200000000001</v>
      </c>
      <c r="S104">
        <v>0.13411200000000001</v>
      </c>
      <c r="T104">
        <v>0.72438400000000003</v>
      </c>
      <c r="U104">
        <v>0.10972800000000001</v>
      </c>
      <c r="V104">
        <v>0.51683085200000001</v>
      </c>
      <c r="W104">
        <v>-38.094428550000003</v>
      </c>
      <c r="X104">
        <v>0.65602854499999996</v>
      </c>
      <c r="Y104">
        <v>10.316771449999999</v>
      </c>
      <c r="Z104">
        <v>9.41</v>
      </c>
      <c r="AA104">
        <v>17.77</v>
      </c>
      <c r="AB104">
        <v>0.47</v>
      </c>
      <c r="AC104">
        <v>26.7</v>
      </c>
      <c r="AD104">
        <v>1508</v>
      </c>
      <c r="AE104">
        <v>16.797499179999999</v>
      </c>
      <c r="AF104">
        <v>3.5648902539999998</v>
      </c>
      <c r="AG104" t="s">
        <v>174</v>
      </c>
      <c r="AH104">
        <v>1</v>
      </c>
      <c r="AI104">
        <v>0</v>
      </c>
      <c r="AJ104">
        <v>0</v>
      </c>
      <c r="AK104">
        <v>0</v>
      </c>
      <c r="AL104" t="s">
        <v>155</v>
      </c>
      <c r="AM104" t="s">
        <v>49</v>
      </c>
      <c r="AN104">
        <v>-0.1575</v>
      </c>
      <c r="AO104">
        <v>0.99829999999999997</v>
      </c>
      <c r="AP104">
        <v>5.3624999999999998</v>
      </c>
      <c r="AQ104">
        <v>0.56999999999999995</v>
      </c>
      <c r="AR104">
        <v>1</v>
      </c>
      <c r="AS104">
        <v>34.047619050000002</v>
      </c>
    </row>
    <row r="105" spans="1:45" x14ac:dyDescent="0.2">
      <c r="A105" t="s">
        <v>241</v>
      </c>
      <c r="B105" t="s">
        <v>168</v>
      </c>
      <c r="C105" t="s">
        <v>169</v>
      </c>
      <c r="D105" t="s">
        <v>170</v>
      </c>
      <c r="E105">
        <v>29.294599999999999</v>
      </c>
      <c r="F105">
        <v>-90.698009999999996</v>
      </c>
      <c r="G105" t="s">
        <v>242</v>
      </c>
      <c r="H105" t="s">
        <v>243</v>
      </c>
      <c r="I105">
        <v>12.404371579999999</v>
      </c>
      <c r="J105">
        <v>12.4</v>
      </c>
      <c r="K105">
        <v>3.1</v>
      </c>
      <c r="L105" t="s">
        <v>68</v>
      </c>
      <c r="M105">
        <f t="shared" si="1"/>
        <v>9.3000000000000007</v>
      </c>
      <c r="N105">
        <v>9.1300000000000008</v>
      </c>
      <c r="O105">
        <v>13.71</v>
      </c>
      <c r="P105">
        <v>0.85</v>
      </c>
      <c r="Q105">
        <v>0.50544800000000001</v>
      </c>
      <c r="R105">
        <v>-0.14883199999999999</v>
      </c>
      <c r="S105">
        <v>0.155448</v>
      </c>
      <c r="T105">
        <v>0.65427999999999997</v>
      </c>
      <c r="U105">
        <v>0.20116800000000001</v>
      </c>
      <c r="V105">
        <v>0.46506082999999998</v>
      </c>
      <c r="W105">
        <v>-33.310099299999997</v>
      </c>
      <c r="X105">
        <v>2.8820992990000001</v>
      </c>
      <c r="Y105">
        <v>17.234700700000001</v>
      </c>
      <c r="Z105">
        <v>10.61</v>
      </c>
      <c r="AA105">
        <v>27.09</v>
      </c>
      <c r="AB105">
        <v>0.31850000000000001</v>
      </c>
      <c r="AC105">
        <v>26.7</v>
      </c>
      <c r="AD105">
        <v>1508</v>
      </c>
      <c r="AE105">
        <v>6.1058108669999998</v>
      </c>
      <c r="AF105">
        <v>4.8507913929999997</v>
      </c>
      <c r="AG105" t="s">
        <v>171</v>
      </c>
      <c r="AH105">
        <v>1</v>
      </c>
      <c r="AI105">
        <v>0</v>
      </c>
      <c r="AJ105">
        <v>0</v>
      </c>
      <c r="AK105">
        <v>0</v>
      </c>
      <c r="AL105" t="s">
        <v>155</v>
      </c>
      <c r="AM105" t="s">
        <v>49</v>
      </c>
      <c r="AN105">
        <v>-8.3999999999999995E-3</v>
      </c>
      <c r="AO105">
        <v>8.6499999999999994E-2</v>
      </c>
      <c r="AP105">
        <v>10.455</v>
      </c>
      <c r="AQ105">
        <v>0.25</v>
      </c>
      <c r="AR105">
        <v>5</v>
      </c>
      <c r="AS105">
        <v>1244.642857</v>
      </c>
    </row>
    <row r="106" spans="1:45" x14ac:dyDescent="0.2">
      <c r="A106" t="s">
        <v>244</v>
      </c>
      <c r="B106" t="s">
        <v>168</v>
      </c>
      <c r="C106" t="s">
        <v>169</v>
      </c>
      <c r="D106" t="s">
        <v>170</v>
      </c>
      <c r="E106">
        <v>29.156700000000001</v>
      </c>
      <c r="F106">
        <v>-90.793000000000006</v>
      </c>
      <c r="G106" t="s">
        <v>194</v>
      </c>
      <c r="H106" t="s">
        <v>240</v>
      </c>
      <c r="I106">
        <v>12.91803279</v>
      </c>
      <c r="J106">
        <v>11.3</v>
      </c>
      <c r="K106">
        <v>8.5</v>
      </c>
      <c r="L106" t="s">
        <v>68</v>
      </c>
      <c r="M106">
        <f t="shared" si="1"/>
        <v>2.8000000000000007</v>
      </c>
      <c r="N106">
        <v>9.1300000000000008</v>
      </c>
      <c r="O106">
        <v>14.58</v>
      </c>
      <c r="P106">
        <v>0.85</v>
      </c>
      <c r="Q106">
        <v>0.47192000000000001</v>
      </c>
      <c r="R106">
        <v>-0.25246400000000002</v>
      </c>
      <c r="S106">
        <v>0.12192</v>
      </c>
      <c r="T106">
        <v>0.72438400000000003</v>
      </c>
      <c r="U106">
        <v>9.7535999999999998E-2</v>
      </c>
      <c r="V106">
        <v>0.51683085200000001</v>
      </c>
      <c r="W106">
        <v>-38.094428550000003</v>
      </c>
      <c r="X106">
        <v>0.65602854499999996</v>
      </c>
      <c r="Y106">
        <v>9.0975714550000006</v>
      </c>
      <c r="Z106">
        <v>6.08</v>
      </c>
      <c r="AA106">
        <v>19.399999999999999</v>
      </c>
      <c r="AB106">
        <v>0.39500000000000002</v>
      </c>
      <c r="AC106">
        <v>26.7</v>
      </c>
      <c r="AD106">
        <v>1508</v>
      </c>
      <c r="AE106">
        <v>8.2569121519999999</v>
      </c>
      <c r="AF106">
        <v>2.2830206839999998</v>
      </c>
      <c r="AG106" t="s">
        <v>174</v>
      </c>
      <c r="AH106">
        <v>1</v>
      </c>
      <c r="AI106">
        <v>0</v>
      </c>
      <c r="AJ106">
        <v>0</v>
      </c>
      <c r="AK106">
        <v>0</v>
      </c>
      <c r="AL106" t="s">
        <v>155</v>
      </c>
      <c r="AM106" t="s">
        <v>49</v>
      </c>
      <c r="AN106">
        <v>-0.2286</v>
      </c>
      <c r="AO106">
        <v>0.92949999999999999</v>
      </c>
      <c r="AP106">
        <v>6.91</v>
      </c>
      <c r="AQ106">
        <v>0.46</v>
      </c>
      <c r="AR106">
        <v>10</v>
      </c>
      <c r="AS106">
        <v>30.227471569999999</v>
      </c>
    </row>
    <row r="107" spans="1:45" x14ac:dyDescent="0.2">
      <c r="A107" t="s">
        <v>245</v>
      </c>
      <c r="B107" t="s">
        <v>168</v>
      </c>
      <c r="C107" t="s">
        <v>169</v>
      </c>
      <c r="D107" t="s">
        <v>170</v>
      </c>
      <c r="E107">
        <v>29.127669999999998</v>
      </c>
      <c r="F107">
        <v>-90.856669999999994</v>
      </c>
      <c r="G107" t="s">
        <v>194</v>
      </c>
      <c r="H107" t="s">
        <v>246</v>
      </c>
      <c r="I107">
        <v>12.93989071</v>
      </c>
      <c r="J107">
        <v>6.4</v>
      </c>
      <c r="K107">
        <v>-21.8</v>
      </c>
      <c r="L107" t="s">
        <v>68</v>
      </c>
      <c r="M107">
        <f t="shared" si="1"/>
        <v>28.200000000000003</v>
      </c>
      <c r="N107">
        <v>9.1300000000000008</v>
      </c>
      <c r="O107">
        <v>13.71</v>
      </c>
      <c r="P107">
        <v>0.85</v>
      </c>
      <c r="Q107">
        <v>0.45363199999999998</v>
      </c>
      <c r="R107">
        <v>-0.10616</v>
      </c>
      <c r="S107">
        <v>0.103632</v>
      </c>
      <c r="T107">
        <v>0.55979199999999996</v>
      </c>
      <c r="U107">
        <v>0.24384</v>
      </c>
      <c r="V107">
        <v>0.37476777100000003</v>
      </c>
      <c r="W107">
        <v>-25.978928410000002</v>
      </c>
      <c r="X107">
        <v>4.999728406</v>
      </c>
      <c r="Y107">
        <v>19.384271590000001</v>
      </c>
      <c r="Z107">
        <v>35.51</v>
      </c>
      <c r="AA107">
        <v>9.31</v>
      </c>
      <c r="AB107">
        <v>0.41149999999999998</v>
      </c>
      <c r="AC107">
        <v>26.7</v>
      </c>
      <c r="AD107">
        <v>1508</v>
      </c>
      <c r="AE107">
        <v>9.3118289710000006</v>
      </c>
      <c r="AF107">
        <v>1.978819748</v>
      </c>
      <c r="AG107" t="s">
        <v>174</v>
      </c>
      <c r="AH107">
        <v>1</v>
      </c>
      <c r="AI107">
        <v>0</v>
      </c>
      <c r="AJ107">
        <v>0</v>
      </c>
      <c r="AK107">
        <v>0</v>
      </c>
      <c r="AL107" t="s">
        <v>155</v>
      </c>
      <c r="AM107" t="s">
        <v>49</v>
      </c>
      <c r="AN107">
        <v>-6.88E-2</v>
      </c>
      <c r="AO107">
        <v>0.83</v>
      </c>
      <c r="AP107">
        <v>4.5125000000000002</v>
      </c>
      <c r="AQ107">
        <v>0.74</v>
      </c>
      <c r="AR107">
        <v>2</v>
      </c>
      <c r="AS107">
        <v>65.588662790000001</v>
      </c>
    </row>
    <row r="108" spans="1:45" x14ac:dyDescent="0.2">
      <c r="A108" t="s">
        <v>247</v>
      </c>
      <c r="B108" t="s">
        <v>168</v>
      </c>
      <c r="C108" t="s">
        <v>169</v>
      </c>
      <c r="D108" t="s">
        <v>170</v>
      </c>
      <c r="E108">
        <v>29.22927</v>
      </c>
      <c r="F108">
        <v>-91.010800000000003</v>
      </c>
      <c r="G108" s="1">
        <v>39633</v>
      </c>
      <c r="H108" t="s">
        <v>240</v>
      </c>
      <c r="I108">
        <v>11.942622950000001</v>
      </c>
      <c r="J108">
        <v>8.6999999999999993</v>
      </c>
      <c r="K108">
        <v>4.5</v>
      </c>
      <c r="L108" t="s">
        <v>68</v>
      </c>
      <c r="M108">
        <f t="shared" si="1"/>
        <v>4.1999999999999993</v>
      </c>
      <c r="N108">
        <v>9.1300000000000008</v>
      </c>
      <c r="O108">
        <v>14.58</v>
      </c>
      <c r="P108">
        <v>0.85</v>
      </c>
      <c r="Q108">
        <v>0.46277600000000002</v>
      </c>
      <c r="R108">
        <v>-0.19150400000000001</v>
      </c>
      <c r="S108">
        <v>0.112776</v>
      </c>
      <c r="T108">
        <v>0.65427999999999997</v>
      </c>
      <c r="U108">
        <v>0.158496</v>
      </c>
      <c r="V108">
        <v>0.46506082999999998</v>
      </c>
      <c r="W108">
        <v>-33.310099299999997</v>
      </c>
      <c r="X108">
        <v>2.8820992990000001</v>
      </c>
      <c r="Y108">
        <v>12.9675007</v>
      </c>
      <c r="Z108">
        <v>10.08</v>
      </c>
      <c r="AA108">
        <v>16.98</v>
      </c>
      <c r="AB108">
        <v>0.40500000000000003</v>
      </c>
      <c r="AC108">
        <v>26.7</v>
      </c>
      <c r="AD108">
        <v>1508</v>
      </c>
      <c r="AE108">
        <v>9.8627583980000004</v>
      </c>
      <c r="AF108">
        <v>2.8238936290000001</v>
      </c>
      <c r="AG108" t="s">
        <v>174</v>
      </c>
      <c r="AH108">
        <v>1</v>
      </c>
      <c r="AI108">
        <v>0</v>
      </c>
      <c r="AJ108">
        <v>0</v>
      </c>
      <c r="AK108">
        <v>0</v>
      </c>
      <c r="AL108" t="s">
        <v>155</v>
      </c>
      <c r="AM108" t="s">
        <v>49</v>
      </c>
      <c r="AN108">
        <v>-6.6699999999999995E-2</v>
      </c>
      <c r="AO108">
        <v>0.78</v>
      </c>
      <c r="AP108">
        <v>17.785</v>
      </c>
      <c r="AQ108">
        <v>0.21</v>
      </c>
      <c r="AR108">
        <v>6</v>
      </c>
      <c r="AS108">
        <v>266.6416792</v>
      </c>
    </row>
    <row r="109" spans="1:45" x14ac:dyDescent="0.2">
      <c r="A109" t="s">
        <v>248</v>
      </c>
      <c r="B109" t="s">
        <v>168</v>
      </c>
      <c r="C109" t="s">
        <v>169</v>
      </c>
      <c r="D109" t="s">
        <v>170</v>
      </c>
      <c r="E109">
        <v>29.35266</v>
      </c>
      <c r="F109">
        <v>-90.260490000000004</v>
      </c>
      <c r="G109" t="s">
        <v>224</v>
      </c>
      <c r="H109" s="1">
        <v>43986</v>
      </c>
      <c r="I109">
        <v>12.95355191</v>
      </c>
      <c r="J109">
        <v>12</v>
      </c>
      <c r="K109">
        <v>6.5</v>
      </c>
      <c r="L109" t="s">
        <v>68</v>
      </c>
      <c r="M109">
        <f t="shared" si="1"/>
        <v>5.5</v>
      </c>
      <c r="N109">
        <v>9.1300000000000008</v>
      </c>
      <c r="O109">
        <v>14.58</v>
      </c>
      <c r="P109">
        <v>0.85</v>
      </c>
      <c r="Q109">
        <v>0.45363199999999998</v>
      </c>
      <c r="R109">
        <v>-0.30732799999999999</v>
      </c>
      <c r="S109">
        <v>0.103632</v>
      </c>
      <c r="T109">
        <v>0.76095999999999997</v>
      </c>
      <c r="U109">
        <v>4.2672000000000002E-2</v>
      </c>
      <c r="V109">
        <v>0.54005466800000002</v>
      </c>
      <c r="W109">
        <v>-40.409790710000003</v>
      </c>
      <c r="X109">
        <v>-0.68620928999999997</v>
      </c>
      <c r="Y109">
        <v>4.9534092899999997</v>
      </c>
      <c r="Z109">
        <v>8.08</v>
      </c>
      <c r="AA109">
        <v>53.1</v>
      </c>
      <c r="AB109">
        <v>0.1585</v>
      </c>
      <c r="AC109">
        <v>26.7</v>
      </c>
      <c r="AD109">
        <v>1508</v>
      </c>
      <c r="AE109">
        <v>8.5983357730000005</v>
      </c>
      <c r="AF109">
        <v>4.7863898349999996</v>
      </c>
      <c r="AG109" t="s">
        <v>171</v>
      </c>
      <c r="AH109">
        <v>1</v>
      </c>
      <c r="AI109">
        <v>0</v>
      </c>
      <c r="AJ109">
        <v>0</v>
      </c>
      <c r="AK109">
        <v>0</v>
      </c>
      <c r="AL109" t="s">
        <v>155</v>
      </c>
      <c r="AM109" t="s">
        <v>49</v>
      </c>
      <c r="AN109">
        <v>3.5700000000000003E-2</v>
      </c>
      <c r="AO109">
        <v>0.76</v>
      </c>
      <c r="AP109">
        <v>14.744999999999999</v>
      </c>
      <c r="AQ109">
        <v>0.38</v>
      </c>
      <c r="AR109">
        <v>0</v>
      </c>
      <c r="AS109">
        <v>1000</v>
      </c>
    </row>
    <row r="110" spans="1:45" x14ac:dyDescent="0.2">
      <c r="A110" t="s">
        <v>249</v>
      </c>
      <c r="B110" t="s">
        <v>168</v>
      </c>
      <c r="C110" t="s">
        <v>169</v>
      </c>
      <c r="D110" t="s">
        <v>170</v>
      </c>
      <c r="E110">
        <v>29.301850000000002</v>
      </c>
      <c r="F110">
        <v>-91.104259999999996</v>
      </c>
      <c r="G110" t="s">
        <v>188</v>
      </c>
      <c r="H110" t="s">
        <v>250</v>
      </c>
      <c r="I110">
        <v>12.964480869999999</v>
      </c>
      <c r="J110">
        <v>17.100000000000001</v>
      </c>
      <c r="K110">
        <v>7.4</v>
      </c>
      <c r="L110" t="s">
        <v>68</v>
      </c>
      <c r="M110">
        <f t="shared" si="1"/>
        <v>9.7000000000000011</v>
      </c>
      <c r="N110">
        <v>9.1300000000000008</v>
      </c>
      <c r="O110">
        <v>13.71</v>
      </c>
      <c r="P110">
        <v>0.85</v>
      </c>
      <c r="Q110">
        <v>0.48411199999999999</v>
      </c>
      <c r="R110">
        <v>-0.176264</v>
      </c>
      <c r="S110">
        <v>0.13411200000000001</v>
      </c>
      <c r="T110">
        <v>0.66037599999999996</v>
      </c>
      <c r="U110">
        <v>0.173736</v>
      </c>
      <c r="V110">
        <v>0.46999890999999999</v>
      </c>
      <c r="W110">
        <v>-33.746010380000001</v>
      </c>
      <c r="X110">
        <v>2.7084103800000001</v>
      </c>
      <c r="Y110">
        <v>14.66518962</v>
      </c>
      <c r="Z110">
        <v>6.31</v>
      </c>
      <c r="AA110">
        <v>30.18</v>
      </c>
      <c r="AB110">
        <v>0.26650000000000001</v>
      </c>
      <c r="AC110">
        <v>26.7</v>
      </c>
      <c r="AD110">
        <v>1508</v>
      </c>
      <c r="AE110">
        <v>17.24844813</v>
      </c>
      <c r="AF110">
        <v>6.8748527819999996</v>
      </c>
      <c r="AG110" t="s">
        <v>171</v>
      </c>
      <c r="AH110">
        <v>1</v>
      </c>
      <c r="AI110">
        <v>0</v>
      </c>
      <c r="AJ110">
        <v>0</v>
      </c>
      <c r="AK110">
        <v>0</v>
      </c>
      <c r="AL110" t="s">
        <v>155</v>
      </c>
      <c r="AM110" t="s">
        <v>49</v>
      </c>
      <c r="AN110">
        <v>-0.14910000000000001</v>
      </c>
      <c r="AO110">
        <v>0.8</v>
      </c>
      <c r="AP110">
        <v>9.9275000000000002</v>
      </c>
      <c r="AQ110">
        <v>0.2</v>
      </c>
      <c r="AR110">
        <v>16</v>
      </c>
      <c r="AS110">
        <v>66.582830319999999</v>
      </c>
    </row>
    <row r="111" spans="1:45" x14ac:dyDescent="0.2">
      <c r="A111" t="s">
        <v>251</v>
      </c>
      <c r="B111" t="s">
        <v>168</v>
      </c>
      <c r="C111" t="s">
        <v>169</v>
      </c>
      <c r="D111" t="s">
        <v>170</v>
      </c>
      <c r="E111">
        <v>29.476050000000001</v>
      </c>
      <c r="F111">
        <v>-90.479249999999993</v>
      </c>
      <c r="G111" s="1">
        <v>39390</v>
      </c>
      <c r="H111" s="1">
        <v>43864</v>
      </c>
      <c r="I111">
        <v>12.89071038</v>
      </c>
      <c r="J111">
        <v>10</v>
      </c>
      <c r="K111">
        <v>7.7</v>
      </c>
      <c r="L111" t="s">
        <v>68</v>
      </c>
      <c r="M111">
        <f t="shared" si="1"/>
        <v>2.2999999999999998</v>
      </c>
      <c r="N111">
        <v>9.1300000000000008</v>
      </c>
      <c r="O111">
        <v>14.58</v>
      </c>
      <c r="P111">
        <v>0.85</v>
      </c>
      <c r="Q111">
        <v>0.52678400000000003</v>
      </c>
      <c r="R111">
        <v>-0.215888</v>
      </c>
      <c r="S111">
        <v>0.176784</v>
      </c>
      <c r="T111">
        <v>0.742672</v>
      </c>
      <c r="U111">
        <v>0.13411200000000001</v>
      </c>
      <c r="V111">
        <v>0.52872869899999997</v>
      </c>
      <c r="W111">
        <v>-39.266364780000004</v>
      </c>
      <c r="X111">
        <v>-8.3521500000000005E-4</v>
      </c>
      <c r="Y111">
        <v>13.41203522</v>
      </c>
      <c r="Z111">
        <v>6.88</v>
      </c>
      <c r="AA111">
        <v>51.79</v>
      </c>
      <c r="AB111">
        <v>0.14349999999999999</v>
      </c>
      <c r="AC111">
        <v>26.7</v>
      </c>
      <c r="AD111">
        <v>1508</v>
      </c>
      <c r="AE111">
        <v>3.6405838130000001</v>
      </c>
      <c r="AF111">
        <v>2.4541197449999999</v>
      </c>
      <c r="AG111" t="s">
        <v>171</v>
      </c>
      <c r="AH111">
        <v>1</v>
      </c>
      <c r="AI111">
        <v>0</v>
      </c>
      <c r="AJ111">
        <v>0</v>
      </c>
      <c r="AK111">
        <v>0</v>
      </c>
      <c r="AL111" t="s">
        <v>155</v>
      </c>
      <c r="AM111" t="s">
        <v>49</v>
      </c>
      <c r="AN111">
        <v>-0.1085</v>
      </c>
      <c r="AO111">
        <v>0.4</v>
      </c>
      <c r="AP111">
        <v>4.76</v>
      </c>
      <c r="AQ111">
        <v>0.22</v>
      </c>
      <c r="AR111">
        <v>0</v>
      </c>
      <c r="AS111">
        <v>43.870967739999998</v>
      </c>
    </row>
    <row r="112" spans="1:45" x14ac:dyDescent="0.2">
      <c r="A112" t="s">
        <v>252</v>
      </c>
      <c r="B112" t="s">
        <v>168</v>
      </c>
      <c r="C112" t="s">
        <v>169</v>
      </c>
      <c r="D112" t="s">
        <v>170</v>
      </c>
      <c r="E112">
        <v>29.171220000000002</v>
      </c>
      <c r="F112">
        <v>-90.824389999999994</v>
      </c>
      <c r="G112" t="s">
        <v>213</v>
      </c>
      <c r="H112" t="s">
        <v>246</v>
      </c>
      <c r="I112">
        <v>12.948087429999999</v>
      </c>
      <c r="J112">
        <v>21.7</v>
      </c>
      <c r="K112">
        <v>15.6</v>
      </c>
      <c r="L112" t="s">
        <v>68</v>
      </c>
      <c r="M112">
        <f t="shared" si="1"/>
        <v>6.1</v>
      </c>
      <c r="N112">
        <v>9.1300000000000008</v>
      </c>
      <c r="O112">
        <v>14.58</v>
      </c>
      <c r="P112">
        <v>0.85</v>
      </c>
      <c r="Q112">
        <v>0.74319199999999996</v>
      </c>
      <c r="R112">
        <v>-5.1296000000000001E-2</v>
      </c>
      <c r="S112">
        <v>0.39319199999999999</v>
      </c>
      <c r="T112">
        <v>0.79448799999999997</v>
      </c>
      <c r="U112">
        <v>0.29870400000000003</v>
      </c>
      <c r="V112">
        <v>0.55946471200000003</v>
      </c>
      <c r="W112">
        <v>-42.436453020000002</v>
      </c>
      <c r="X112">
        <v>-2.0123469780000001</v>
      </c>
      <c r="Y112">
        <v>31.88274698</v>
      </c>
      <c r="Z112">
        <v>-1.02</v>
      </c>
      <c r="AA112">
        <v>18.27</v>
      </c>
      <c r="AB112">
        <v>0.42849999999999999</v>
      </c>
      <c r="AC112">
        <v>26.7</v>
      </c>
      <c r="AD112">
        <v>1508</v>
      </c>
      <c r="AE112">
        <v>8.8494207859999996</v>
      </c>
      <c r="AF112">
        <v>2.7031564889999999</v>
      </c>
      <c r="AG112" t="s">
        <v>174</v>
      </c>
      <c r="AH112">
        <v>1</v>
      </c>
      <c r="AI112">
        <v>0</v>
      </c>
      <c r="AJ112">
        <v>0</v>
      </c>
      <c r="AK112">
        <v>0</v>
      </c>
      <c r="AL112" t="s">
        <v>155</v>
      </c>
      <c r="AM112" t="s">
        <v>49</v>
      </c>
      <c r="AN112">
        <v>-8.6599999999999996E-2</v>
      </c>
      <c r="AO112">
        <v>0.75080000000000002</v>
      </c>
      <c r="AP112">
        <v>5.665</v>
      </c>
      <c r="AQ112">
        <v>0.49</v>
      </c>
      <c r="AR112">
        <v>1000</v>
      </c>
      <c r="AS112">
        <v>65.415704390000002</v>
      </c>
    </row>
    <row r="113" spans="1:45" x14ac:dyDescent="0.2">
      <c r="A113" t="s">
        <v>253</v>
      </c>
      <c r="B113" t="s">
        <v>168</v>
      </c>
      <c r="C113" t="s">
        <v>169</v>
      </c>
      <c r="D113" t="s">
        <v>170</v>
      </c>
      <c r="E113">
        <v>29.323650000000001</v>
      </c>
      <c r="F113">
        <v>-90.292509999999993</v>
      </c>
      <c r="G113" t="s">
        <v>224</v>
      </c>
      <c r="H113" s="1">
        <v>43986</v>
      </c>
      <c r="I113">
        <v>12.95355191</v>
      </c>
      <c r="J113">
        <v>14.7</v>
      </c>
      <c r="K113">
        <v>8.3000000000000007</v>
      </c>
      <c r="L113" t="s">
        <v>68</v>
      </c>
      <c r="M113">
        <f t="shared" si="1"/>
        <v>6.3999999999999986</v>
      </c>
      <c r="N113">
        <v>9.1300000000000008</v>
      </c>
      <c r="O113">
        <v>14.58</v>
      </c>
      <c r="P113">
        <v>0.85</v>
      </c>
      <c r="Q113">
        <v>0.46887200000000001</v>
      </c>
      <c r="R113">
        <v>-5.7391999999999999E-2</v>
      </c>
      <c r="S113">
        <v>0.11887200000000001</v>
      </c>
      <c r="T113">
        <v>0.52626399999999995</v>
      </c>
      <c r="U113">
        <v>0.29260799999999998</v>
      </c>
      <c r="V113">
        <v>0.33493455799999999</v>
      </c>
      <c r="W113">
        <v>-23.07587238</v>
      </c>
      <c r="X113">
        <v>5.4494723780000003</v>
      </c>
      <c r="Y113">
        <v>23.81132762</v>
      </c>
      <c r="Z113">
        <v>6.28</v>
      </c>
      <c r="AA113">
        <v>36.119999999999997</v>
      </c>
      <c r="AB113">
        <v>0.16850000000000001</v>
      </c>
      <c r="AC113">
        <v>26.7</v>
      </c>
      <c r="AD113">
        <v>1508</v>
      </c>
      <c r="AE113">
        <v>9.9801949259999994</v>
      </c>
      <c r="AF113">
        <v>3.5849734620000002</v>
      </c>
      <c r="AG113" t="s">
        <v>174</v>
      </c>
      <c r="AH113">
        <v>1</v>
      </c>
      <c r="AI113">
        <v>0</v>
      </c>
      <c r="AJ113">
        <v>0</v>
      </c>
      <c r="AK113">
        <v>0</v>
      </c>
      <c r="AL113" t="s">
        <v>155</v>
      </c>
      <c r="AM113" t="s">
        <v>49</v>
      </c>
      <c r="AN113">
        <v>-0.14280000000000001</v>
      </c>
      <c r="AO113">
        <v>0.89800000000000002</v>
      </c>
      <c r="AP113">
        <v>8.7750000000000004</v>
      </c>
      <c r="AQ113">
        <v>0.35</v>
      </c>
      <c r="AR113">
        <v>66</v>
      </c>
      <c r="AS113">
        <v>61.449579829999998</v>
      </c>
    </row>
    <row r="114" spans="1:45" x14ac:dyDescent="0.2">
      <c r="A114" t="s">
        <v>254</v>
      </c>
      <c r="B114" t="s">
        <v>168</v>
      </c>
      <c r="C114" t="s">
        <v>169</v>
      </c>
      <c r="D114" t="s">
        <v>170</v>
      </c>
      <c r="E114">
        <v>29.87473</v>
      </c>
      <c r="F114">
        <v>-89.37876</v>
      </c>
      <c r="G114" t="s">
        <v>255</v>
      </c>
      <c r="H114" t="s">
        <v>176</v>
      </c>
      <c r="I114">
        <v>10.48087432</v>
      </c>
      <c r="J114">
        <v>12.8</v>
      </c>
      <c r="K114">
        <v>9.6999999999999993</v>
      </c>
      <c r="L114" t="s">
        <v>68</v>
      </c>
      <c r="M114">
        <f t="shared" si="1"/>
        <v>3.1000000000000014</v>
      </c>
      <c r="N114">
        <v>9.1300000000000008</v>
      </c>
      <c r="O114">
        <v>14.58</v>
      </c>
      <c r="P114">
        <v>0.85</v>
      </c>
      <c r="Q114">
        <v>0.52678400000000003</v>
      </c>
      <c r="R114">
        <v>-0.124448</v>
      </c>
      <c r="S114">
        <v>0.176784</v>
      </c>
      <c r="T114">
        <v>0.65123200000000003</v>
      </c>
      <c r="U114">
        <v>0.225552</v>
      </c>
      <c r="V114">
        <v>0.46255712300000001</v>
      </c>
      <c r="W114">
        <v>-33.090618339999999</v>
      </c>
      <c r="X114">
        <v>2.96741834</v>
      </c>
      <c r="Y114">
        <v>19.587781660000001</v>
      </c>
      <c r="Z114">
        <v>4.88</v>
      </c>
      <c r="AA114">
        <v>27.54</v>
      </c>
      <c r="AB114">
        <v>0.43149999999999999</v>
      </c>
      <c r="AC114">
        <v>26.7</v>
      </c>
      <c r="AD114">
        <v>1508</v>
      </c>
      <c r="AE114">
        <v>9.9028433160000002</v>
      </c>
      <c r="AF114">
        <v>2.6912453900000002</v>
      </c>
      <c r="AG114" t="s">
        <v>174</v>
      </c>
      <c r="AH114">
        <v>1</v>
      </c>
      <c r="AI114">
        <v>0</v>
      </c>
      <c r="AJ114">
        <v>0</v>
      </c>
      <c r="AK114">
        <v>0</v>
      </c>
      <c r="AL114" t="s">
        <v>155</v>
      </c>
      <c r="AM114" t="s">
        <v>49</v>
      </c>
      <c r="AN114">
        <v>-7.0000000000000007E-2</v>
      </c>
      <c r="AO114">
        <v>0.94</v>
      </c>
      <c r="AP114" t="s">
        <v>68</v>
      </c>
      <c r="AQ114">
        <v>0.1</v>
      </c>
      <c r="AR114">
        <v>1000</v>
      </c>
      <c r="AS114" t="s">
        <v>68</v>
      </c>
    </row>
    <row r="115" spans="1:45" x14ac:dyDescent="0.2">
      <c r="A115" t="s">
        <v>256</v>
      </c>
      <c r="B115" t="s">
        <v>168</v>
      </c>
      <c r="C115" t="s">
        <v>169</v>
      </c>
      <c r="D115" t="s">
        <v>170</v>
      </c>
      <c r="E115">
        <v>29.49783</v>
      </c>
      <c r="F115">
        <v>-90.447999999999993</v>
      </c>
      <c r="G115" t="s">
        <v>257</v>
      </c>
      <c r="H115" s="1">
        <v>43864</v>
      </c>
      <c r="I115">
        <v>10.349726779999999</v>
      </c>
      <c r="J115">
        <v>13.8</v>
      </c>
      <c r="K115">
        <v>3.5</v>
      </c>
      <c r="L115" t="s">
        <v>68</v>
      </c>
      <c r="M115">
        <f t="shared" si="1"/>
        <v>10.3</v>
      </c>
      <c r="N115">
        <v>9.1300000000000008</v>
      </c>
      <c r="O115">
        <v>14.58</v>
      </c>
      <c r="P115">
        <v>0.85</v>
      </c>
      <c r="Q115">
        <v>0.49325600000000003</v>
      </c>
      <c r="R115">
        <v>8.2816000000000001E-2</v>
      </c>
      <c r="S115">
        <v>0.14325599999999999</v>
      </c>
      <c r="T115">
        <v>0.41044000000000003</v>
      </c>
      <c r="U115">
        <v>0.43281599999999998</v>
      </c>
      <c r="V115">
        <v>0.14725660300000001</v>
      </c>
      <c r="W115">
        <v>-11.392012749999999</v>
      </c>
      <c r="X115">
        <v>5.3480127509999997</v>
      </c>
      <c r="Y115">
        <v>37.933587250000002</v>
      </c>
      <c r="Z115">
        <v>11.08</v>
      </c>
      <c r="AA115">
        <v>50.03</v>
      </c>
      <c r="AB115">
        <v>0.16</v>
      </c>
      <c r="AC115">
        <v>26.7</v>
      </c>
      <c r="AD115">
        <v>1508</v>
      </c>
      <c r="AE115">
        <v>3.9138787050000001</v>
      </c>
      <c r="AF115">
        <v>2.5876998229999999</v>
      </c>
      <c r="AG115" t="s">
        <v>171</v>
      </c>
      <c r="AH115">
        <v>1</v>
      </c>
      <c r="AI115">
        <v>0</v>
      </c>
      <c r="AJ115">
        <v>0</v>
      </c>
      <c r="AK115">
        <v>0</v>
      </c>
      <c r="AL115" t="s">
        <v>155</v>
      </c>
      <c r="AM115" t="s">
        <v>49</v>
      </c>
      <c r="AN115">
        <v>3.8699999999999998E-2</v>
      </c>
      <c r="AO115">
        <v>0.64</v>
      </c>
      <c r="AP115">
        <v>26.6675</v>
      </c>
      <c r="AQ115">
        <v>0.36</v>
      </c>
      <c r="AR115">
        <v>9</v>
      </c>
      <c r="AS115">
        <v>1000</v>
      </c>
    </row>
    <row r="116" spans="1:45" x14ac:dyDescent="0.2">
      <c r="A116" t="s">
        <v>258</v>
      </c>
      <c r="B116" t="s">
        <v>168</v>
      </c>
      <c r="C116" t="s">
        <v>169</v>
      </c>
      <c r="D116" t="s">
        <v>170</v>
      </c>
      <c r="E116">
        <v>29.388960000000001</v>
      </c>
      <c r="F116">
        <v>-90.479249999999993</v>
      </c>
      <c r="G116" t="s">
        <v>259</v>
      </c>
      <c r="H116" t="s">
        <v>176</v>
      </c>
      <c r="I116">
        <v>10.08219178</v>
      </c>
      <c r="J116">
        <v>18.600000000000001</v>
      </c>
      <c r="K116">
        <v>10.7</v>
      </c>
      <c r="L116" t="s">
        <v>68</v>
      </c>
      <c r="M116">
        <f t="shared" si="1"/>
        <v>7.9000000000000021</v>
      </c>
      <c r="N116">
        <v>9.1300000000000008</v>
      </c>
      <c r="O116">
        <v>14.56</v>
      </c>
      <c r="P116">
        <v>0.85</v>
      </c>
      <c r="Q116">
        <v>0.46582400000000002</v>
      </c>
      <c r="R116">
        <v>-0.20979200000000001</v>
      </c>
      <c r="S116">
        <v>0.115824</v>
      </c>
      <c r="T116">
        <v>0.67561599999999999</v>
      </c>
      <c r="U116">
        <v>0.140208</v>
      </c>
      <c r="V116">
        <v>0.48195424599999998</v>
      </c>
      <c r="W116">
        <v>-34.818422990000002</v>
      </c>
      <c r="X116">
        <v>2.2568229930000001</v>
      </c>
      <c r="Y116">
        <v>11.76397701</v>
      </c>
      <c r="Z116">
        <v>3.86</v>
      </c>
      <c r="AA116">
        <v>23.18</v>
      </c>
      <c r="AB116">
        <v>0.23799999999999999</v>
      </c>
      <c r="AC116">
        <v>26.7</v>
      </c>
      <c r="AD116">
        <v>1508</v>
      </c>
      <c r="AE116">
        <v>3.6405838130000001</v>
      </c>
      <c r="AF116">
        <v>2.4541197449999999</v>
      </c>
      <c r="AG116" t="s">
        <v>174</v>
      </c>
      <c r="AH116">
        <v>1</v>
      </c>
      <c r="AI116">
        <v>0</v>
      </c>
      <c r="AJ116">
        <v>0</v>
      </c>
      <c r="AK116">
        <v>0</v>
      </c>
      <c r="AL116" t="s">
        <v>155</v>
      </c>
      <c r="AM116" t="s">
        <v>49</v>
      </c>
      <c r="AN116">
        <v>-0.48820000000000002</v>
      </c>
      <c r="AO116">
        <v>0.82079999999999997</v>
      </c>
      <c r="AP116">
        <v>21.9025</v>
      </c>
      <c r="AQ116">
        <v>0.28000000000000003</v>
      </c>
      <c r="AR116">
        <v>1000</v>
      </c>
      <c r="AS116">
        <v>44.863785329999999</v>
      </c>
    </row>
    <row r="117" spans="1:45" x14ac:dyDescent="0.2">
      <c r="A117" t="s">
        <v>260</v>
      </c>
      <c r="B117" t="s">
        <v>168</v>
      </c>
      <c r="C117" t="s">
        <v>169</v>
      </c>
      <c r="D117" t="s">
        <v>170</v>
      </c>
      <c r="E117">
        <v>29.49783</v>
      </c>
      <c r="F117">
        <v>-90.104240000000004</v>
      </c>
      <c r="G117" t="s">
        <v>194</v>
      </c>
      <c r="H117" t="s">
        <v>192</v>
      </c>
      <c r="I117">
        <v>12.91530055</v>
      </c>
      <c r="J117">
        <v>11.7</v>
      </c>
      <c r="K117">
        <v>7.4</v>
      </c>
      <c r="L117" t="s">
        <v>68</v>
      </c>
      <c r="M117">
        <f t="shared" si="1"/>
        <v>4.2999999999999989</v>
      </c>
      <c r="N117">
        <v>9.1300000000000008</v>
      </c>
      <c r="O117">
        <v>14.56</v>
      </c>
      <c r="P117">
        <v>0.85</v>
      </c>
      <c r="Q117">
        <v>0.55116799999999999</v>
      </c>
      <c r="R117">
        <v>-0.20064799999999999</v>
      </c>
      <c r="S117">
        <v>0.20116800000000001</v>
      </c>
      <c r="T117">
        <v>0.75181600000000004</v>
      </c>
      <c r="U117">
        <v>0.14935200000000001</v>
      </c>
      <c r="V117">
        <v>0.534460559</v>
      </c>
      <c r="W117">
        <v>-39.84155458</v>
      </c>
      <c r="X117">
        <v>-0.34004542300000001</v>
      </c>
      <c r="Y117">
        <v>15.275245419999999</v>
      </c>
      <c r="Z117">
        <v>7.16</v>
      </c>
      <c r="AA117">
        <v>10.82</v>
      </c>
      <c r="AB117">
        <v>0.17</v>
      </c>
      <c r="AC117">
        <v>26.7</v>
      </c>
      <c r="AD117">
        <v>1508</v>
      </c>
      <c r="AE117">
        <v>11.9800626</v>
      </c>
      <c r="AF117">
        <v>3.8822090720000002</v>
      </c>
      <c r="AG117" t="s">
        <v>171</v>
      </c>
      <c r="AH117">
        <v>1</v>
      </c>
      <c r="AI117">
        <v>0</v>
      </c>
      <c r="AJ117">
        <v>0</v>
      </c>
      <c r="AK117">
        <v>0</v>
      </c>
      <c r="AL117" t="s">
        <v>155</v>
      </c>
      <c r="AM117" t="s">
        <v>49</v>
      </c>
      <c r="AN117">
        <v>-0.2089</v>
      </c>
      <c r="AO117">
        <v>0.98</v>
      </c>
      <c r="AP117">
        <v>10.225</v>
      </c>
      <c r="AQ117">
        <v>0.03</v>
      </c>
      <c r="AR117">
        <v>0</v>
      </c>
      <c r="AS117">
        <v>48.946864529999999</v>
      </c>
    </row>
    <row r="118" spans="1:45" x14ac:dyDescent="0.2">
      <c r="A118" t="s">
        <v>261</v>
      </c>
      <c r="B118" t="s">
        <v>168</v>
      </c>
      <c r="C118" t="s">
        <v>169</v>
      </c>
      <c r="D118" t="s">
        <v>170</v>
      </c>
      <c r="E118">
        <v>29.548629999999999</v>
      </c>
      <c r="F118">
        <v>-89.916730000000001</v>
      </c>
      <c r="G118" s="1">
        <v>39573</v>
      </c>
      <c r="H118" s="1">
        <v>44078</v>
      </c>
      <c r="I118">
        <v>11.928961749999999</v>
      </c>
      <c r="J118">
        <v>12.5</v>
      </c>
      <c r="K118">
        <v>5.4</v>
      </c>
      <c r="L118" t="s">
        <v>68</v>
      </c>
      <c r="M118">
        <f t="shared" si="1"/>
        <v>7.1</v>
      </c>
      <c r="N118">
        <v>9.1300000000000008</v>
      </c>
      <c r="O118">
        <v>14.56</v>
      </c>
      <c r="P118">
        <v>0.85</v>
      </c>
      <c r="Q118">
        <v>0.52983199999999997</v>
      </c>
      <c r="R118">
        <v>-0.20674400000000001</v>
      </c>
      <c r="S118">
        <v>0.17983199999999999</v>
      </c>
      <c r="T118">
        <v>0.73657600000000001</v>
      </c>
      <c r="U118">
        <v>0.14325599999999999</v>
      </c>
      <c r="V118">
        <v>0.524828395</v>
      </c>
      <c r="W118">
        <v>-38.878956959999996</v>
      </c>
      <c r="X118">
        <v>0.22135695699999999</v>
      </c>
      <c r="Y118">
        <v>14.10424304</v>
      </c>
      <c r="Z118">
        <v>9.16</v>
      </c>
      <c r="AA118">
        <v>45.1</v>
      </c>
      <c r="AB118">
        <v>0.36</v>
      </c>
      <c r="AC118">
        <v>26.7</v>
      </c>
      <c r="AD118">
        <v>1508</v>
      </c>
      <c r="AE118">
        <v>4.1049753820000001</v>
      </c>
      <c r="AF118">
        <v>1.788812286</v>
      </c>
      <c r="AG118" t="s">
        <v>171</v>
      </c>
      <c r="AH118">
        <v>1</v>
      </c>
      <c r="AI118">
        <v>0</v>
      </c>
      <c r="AJ118">
        <v>0</v>
      </c>
      <c r="AK118">
        <v>0</v>
      </c>
      <c r="AL118" t="s">
        <v>155</v>
      </c>
      <c r="AM118" t="s">
        <v>49</v>
      </c>
      <c r="AN118">
        <v>0.16400000000000001</v>
      </c>
      <c r="AO118">
        <v>0.93</v>
      </c>
      <c r="AP118">
        <v>11.08</v>
      </c>
      <c r="AQ118">
        <v>0.25</v>
      </c>
      <c r="AR118">
        <v>1</v>
      </c>
      <c r="AS118">
        <v>1000</v>
      </c>
    </row>
    <row r="119" spans="1:45" x14ac:dyDescent="0.2">
      <c r="A119" t="s">
        <v>262</v>
      </c>
      <c r="B119" t="s">
        <v>168</v>
      </c>
      <c r="C119" t="s">
        <v>169</v>
      </c>
      <c r="D119" t="s">
        <v>170</v>
      </c>
      <c r="E119">
        <v>30.056699999999999</v>
      </c>
      <c r="F119">
        <v>-89.822980000000001</v>
      </c>
      <c r="G119" t="s">
        <v>172</v>
      </c>
      <c r="H119" s="1">
        <v>44138</v>
      </c>
      <c r="I119">
        <v>11.31147541</v>
      </c>
      <c r="J119">
        <v>11.1</v>
      </c>
      <c r="K119">
        <v>5.7</v>
      </c>
      <c r="L119" t="s">
        <v>68</v>
      </c>
      <c r="M119">
        <f t="shared" si="1"/>
        <v>5.3999999999999995</v>
      </c>
      <c r="N119">
        <v>9.1300000000000008</v>
      </c>
      <c r="O119">
        <v>14.58</v>
      </c>
      <c r="P119">
        <v>0.85</v>
      </c>
      <c r="Q119">
        <v>0.51459200000000005</v>
      </c>
      <c r="R119">
        <v>-0.11225599999999999</v>
      </c>
      <c r="S119">
        <v>0.16459199999999999</v>
      </c>
      <c r="T119">
        <v>0.62684799999999996</v>
      </c>
      <c r="U119">
        <v>0.23774400000000001</v>
      </c>
      <c r="V119">
        <v>0.44165092700000003</v>
      </c>
      <c r="W119">
        <v>-31.296869730000001</v>
      </c>
      <c r="X119">
        <v>3.6120697279999998</v>
      </c>
      <c r="Y119">
        <v>20.162330270000002</v>
      </c>
      <c r="Z119">
        <v>8.8800000000000008</v>
      </c>
      <c r="AA119">
        <v>17.260000000000002</v>
      </c>
      <c r="AB119">
        <v>0.42849999999999999</v>
      </c>
      <c r="AC119">
        <v>26.7</v>
      </c>
      <c r="AD119">
        <v>1508</v>
      </c>
      <c r="AE119">
        <v>8.6673897499999999</v>
      </c>
      <c r="AF119">
        <v>6.0177814700000001</v>
      </c>
      <c r="AG119" t="s">
        <v>171</v>
      </c>
      <c r="AH119">
        <v>1</v>
      </c>
      <c r="AI119">
        <v>0</v>
      </c>
      <c r="AJ119">
        <v>0</v>
      </c>
      <c r="AK119">
        <v>0</v>
      </c>
      <c r="AL119" t="s">
        <v>155</v>
      </c>
      <c r="AM119" t="s">
        <v>49</v>
      </c>
      <c r="AN119">
        <v>1.5599999999999999E-2</v>
      </c>
      <c r="AO119">
        <v>0.17</v>
      </c>
      <c r="AP119">
        <v>20.215</v>
      </c>
      <c r="AQ119">
        <v>0.25</v>
      </c>
      <c r="AR119">
        <v>11</v>
      </c>
      <c r="AS119">
        <v>1000</v>
      </c>
    </row>
    <row r="120" spans="1:45" x14ac:dyDescent="0.2">
      <c r="A120" t="s">
        <v>263</v>
      </c>
      <c r="B120" t="s">
        <v>168</v>
      </c>
      <c r="C120" t="s">
        <v>169</v>
      </c>
      <c r="D120" t="s">
        <v>170</v>
      </c>
      <c r="E120">
        <v>30.15832</v>
      </c>
      <c r="F120">
        <v>-89.666719999999998</v>
      </c>
      <c r="G120" t="s">
        <v>264</v>
      </c>
      <c r="H120" s="1">
        <v>43954</v>
      </c>
      <c r="I120">
        <v>10.35519126</v>
      </c>
      <c r="J120">
        <v>7.2</v>
      </c>
      <c r="K120">
        <v>2.2999999999999998</v>
      </c>
      <c r="L120" t="s">
        <v>68</v>
      </c>
      <c r="M120">
        <f t="shared" si="1"/>
        <v>4.9000000000000004</v>
      </c>
      <c r="N120">
        <v>9.1300000000000008</v>
      </c>
      <c r="O120">
        <v>13.71</v>
      </c>
      <c r="P120">
        <v>0.85</v>
      </c>
      <c r="Q120">
        <v>0.53592799999999996</v>
      </c>
      <c r="R120">
        <v>-0.21284</v>
      </c>
      <c r="S120">
        <v>0.18592800000000001</v>
      </c>
      <c r="T120">
        <v>0.74876799999999999</v>
      </c>
      <c r="U120">
        <v>0.13716</v>
      </c>
      <c r="V120">
        <v>0.53256549399999997</v>
      </c>
      <c r="W120">
        <v>-39.650605650000003</v>
      </c>
      <c r="X120">
        <v>-0.22619434699999999</v>
      </c>
      <c r="Y120">
        <v>13.942194349999999</v>
      </c>
      <c r="Z120">
        <v>11.41</v>
      </c>
      <c r="AA120">
        <v>15.39</v>
      </c>
      <c r="AB120">
        <v>0.50649999999999995</v>
      </c>
      <c r="AC120">
        <v>26.7</v>
      </c>
      <c r="AD120">
        <v>1508</v>
      </c>
      <c r="AE120">
        <v>7.1034146749999998</v>
      </c>
      <c r="AF120">
        <v>3.5060354280000001</v>
      </c>
      <c r="AG120" t="s">
        <v>171</v>
      </c>
      <c r="AH120">
        <v>1</v>
      </c>
      <c r="AI120">
        <v>0</v>
      </c>
      <c r="AJ120">
        <v>0</v>
      </c>
      <c r="AK120">
        <v>0</v>
      </c>
      <c r="AL120" t="s">
        <v>155</v>
      </c>
      <c r="AM120" t="s">
        <v>49</v>
      </c>
      <c r="AN120">
        <v>5.8999999999999999E-3</v>
      </c>
      <c r="AO120">
        <v>1.8E-3</v>
      </c>
      <c r="AP120">
        <v>14.9625</v>
      </c>
      <c r="AQ120">
        <v>0.5</v>
      </c>
      <c r="AR120">
        <v>0</v>
      </c>
      <c r="AS120">
        <v>1000</v>
      </c>
    </row>
    <row r="121" spans="1:45" x14ac:dyDescent="0.2">
      <c r="A121" t="s">
        <v>265</v>
      </c>
      <c r="B121" t="s">
        <v>168</v>
      </c>
      <c r="C121" t="s">
        <v>169</v>
      </c>
      <c r="D121" t="s">
        <v>170</v>
      </c>
      <c r="E121">
        <v>29.468789999999998</v>
      </c>
      <c r="F121">
        <v>-89.822980000000001</v>
      </c>
      <c r="G121" t="s">
        <v>266</v>
      </c>
      <c r="H121" s="1">
        <v>44138</v>
      </c>
      <c r="I121">
        <v>11.904371579999999</v>
      </c>
      <c r="J121">
        <v>12.8</v>
      </c>
      <c r="K121">
        <v>8.6999999999999993</v>
      </c>
      <c r="L121" t="s">
        <v>68</v>
      </c>
      <c r="M121">
        <f t="shared" si="1"/>
        <v>4.1000000000000014</v>
      </c>
      <c r="N121">
        <v>9.1300000000000008</v>
      </c>
      <c r="O121">
        <v>13.97</v>
      </c>
      <c r="P121">
        <v>0.85</v>
      </c>
      <c r="Q121">
        <v>0.47192000000000001</v>
      </c>
      <c r="R121">
        <v>-0.20064799999999999</v>
      </c>
      <c r="S121">
        <v>0.12192</v>
      </c>
      <c r="T121">
        <v>0.67256800000000005</v>
      </c>
      <c r="U121">
        <v>0.14935200000000001</v>
      </c>
      <c r="V121">
        <v>0.47960652300000001</v>
      </c>
      <c r="W121">
        <v>-34.605888950000001</v>
      </c>
      <c r="X121">
        <v>2.3490889529999999</v>
      </c>
      <c r="Y121">
        <v>12.58611105</v>
      </c>
      <c r="Z121">
        <v>5.27</v>
      </c>
      <c r="AA121">
        <v>23.37</v>
      </c>
      <c r="AB121">
        <v>0.40150000000000002</v>
      </c>
      <c r="AC121">
        <v>26.7</v>
      </c>
      <c r="AD121">
        <v>1508</v>
      </c>
      <c r="AE121">
        <v>9.3357291619999998</v>
      </c>
      <c r="AF121">
        <v>2.938167623</v>
      </c>
      <c r="AG121" t="s">
        <v>174</v>
      </c>
      <c r="AH121">
        <v>1</v>
      </c>
      <c r="AI121">
        <v>0</v>
      </c>
      <c r="AJ121">
        <v>0</v>
      </c>
      <c r="AK121">
        <v>0</v>
      </c>
      <c r="AL121" t="s">
        <v>155</v>
      </c>
      <c r="AM121" t="s">
        <v>49</v>
      </c>
      <c r="AN121">
        <v>-0.151</v>
      </c>
      <c r="AO121">
        <v>0.97</v>
      </c>
      <c r="AP121">
        <v>1</v>
      </c>
      <c r="AQ121">
        <v>0.55000000000000004</v>
      </c>
      <c r="AR121">
        <v>55</v>
      </c>
      <c r="AS121">
        <v>6.6225165559999999</v>
      </c>
    </row>
    <row r="122" spans="1:45" x14ac:dyDescent="0.2">
      <c r="A122" t="s">
        <v>267</v>
      </c>
      <c r="B122" t="s">
        <v>168</v>
      </c>
      <c r="C122" t="s">
        <v>169</v>
      </c>
      <c r="D122" t="s">
        <v>170</v>
      </c>
      <c r="E122">
        <v>29.853480000000001</v>
      </c>
      <c r="F122">
        <v>-89.604219999999998</v>
      </c>
      <c r="G122" s="1">
        <v>40004</v>
      </c>
      <c r="H122" s="1">
        <v>43986</v>
      </c>
      <c r="I122">
        <v>10.49726776</v>
      </c>
      <c r="J122">
        <v>14.4</v>
      </c>
      <c r="K122">
        <v>9.4</v>
      </c>
      <c r="L122" t="s">
        <v>68</v>
      </c>
      <c r="M122">
        <f t="shared" si="1"/>
        <v>5</v>
      </c>
      <c r="N122">
        <v>9.1300000000000008</v>
      </c>
      <c r="O122">
        <v>14.56</v>
      </c>
      <c r="P122">
        <v>0.85</v>
      </c>
      <c r="Q122">
        <v>0.53288000000000002</v>
      </c>
      <c r="R122">
        <v>-0.28294399999999997</v>
      </c>
      <c r="S122">
        <v>0.18287999999999999</v>
      </c>
      <c r="T122">
        <v>0.81582399999999999</v>
      </c>
      <c r="U122">
        <v>6.7056000000000004E-2</v>
      </c>
      <c r="V122">
        <v>0.57098589899999996</v>
      </c>
      <c r="W122">
        <v>-43.682086740000003</v>
      </c>
      <c r="X122">
        <v>-2.9003132630000001</v>
      </c>
      <c r="Y122">
        <v>9.6059132629999997</v>
      </c>
      <c r="Z122">
        <v>5.16</v>
      </c>
      <c r="AA122">
        <v>37.32</v>
      </c>
      <c r="AB122">
        <v>0.36149999999999999</v>
      </c>
      <c r="AC122">
        <v>26.7</v>
      </c>
      <c r="AD122">
        <v>1508</v>
      </c>
      <c r="AE122">
        <v>10.114280620000001</v>
      </c>
      <c r="AF122">
        <v>3.6158468080000001</v>
      </c>
      <c r="AG122" t="s">
        <v>174</v>
      </c>
      <c r="AH122">
        <v>1</v>
      </c>
      <c r="AI122">
        <v>0</v>
      </c>
      <c r="AJ122">
        <v>0</v>
      </c>
      <c r="AK122">
        <v>0</v>
      </c>
      <c r="AL122" t="s">
        <v>155</v>
      </c>
      <c r="AM122" t="s">
        <v>49</v>
      </c>
      <c r="AN122">
        <v>-0.14099999999999999</v>
      </c>
      <c r="AO122">
        <v>0.88</v>
      </c>
      <c r="AP122">
        <v>6.3475000000000001</v>
      </c>
      <c r="AQ122">
        <v>0.37</v>
      </c>
      <c r="AR122">
        <v>1000</v>
      </c>
      <c r="AS122">
        <v>45.017730499999999</v>
      </c>
    </row>
    <row r="123" spans="1:45" x14ac:dyDescent="0.2">
      <c r="A123" t="s">
        <v>268</v>
      </c>
      <c r="B123" t="s">
        <v>168</v>
      </c>
      <c r="C123" t="s">
        <v>169</v>
      </c>
      <c r="D123" t="s">
        <v>170</v>
      </c>
      <c r="E123">
        <v>29.824439999999999</v>
      </c>
      <c r="F123">
        <v>-89.572969999999998</v>
      </c>
      <c r="G123" s="1">
        <v>40150</v>
      </c>
      <c r="H123" s="1">
        <v>43864</v>
      </c>
      <c r="I123">
        <v>10.972677600000001</v>
      </c>
      <c r="J123">
        <v>12.7</v>
      </c>
      <c r="K123">
        <v>10</v>
      </c>
      <c r="L123" t="s">
        <v>68</v>
      </c>
      <c r="M123">
        <f t="shared" si="1"/>
        <v>2.6999999999999993</v>
      </c>
      <c r="N123">
        <v>9.1300000000000008</v>
      </c>
      <c r="O123">
        <v>13.71</v>
      </c>
      <c r="P123">
        <v>0.85</v>
      </c>
      <c r="Q123">
        <v>0.51763999999999999</v>
      </c>
      <c r="R123">
        <v>-0.234176</v>
      </c>
      <c r="S123">
        <v>0.16764000000000001</v>
      </c>
      <c r="T123">
        <v>0.75181600000000004</v>
      </c>
      <c r="U123">
        <v>0.115824</v>
      </c>
      <c r="V123">
        <v>0.534460559</v>
      </c>
      <c r="W123">
        <v>-39.84155458</v>
      </c>
      <c r="X123">
        <v>-0.34004542300000001</v>
      </c>
      <c r="Y123">
        <v>11.922445420000001</v>
      </c>
      <c r="Z123">
        <v>3.71</v>
      </c>
      <c r="AA123">
        <v>32.15</v>
      </c>
      <c r="AB123">
        <v>0.24299999999999999</v>
      </c>
      <c r="AC123">
        <v>26.7</v>
      </c>
      <c r="AD123">
        <v>1508</v>
      </c>
      <c r="AE123">
        <v>0.234099165</v>
      </c>
      <c r="AF123">
        <v>0.14544601400000001</v>
      </c>
      <c r="AG123" t="s">
        <v>174</v>
      </c>
      <c r="AH123">
        <v>1</v>
      </c>
      <c r="AI123">
        <v>0</v>
      </c>
      <c r="AJ123">
        <v>0</v>
      </c>
      <c r="AK123">
        <v>0</v>
      </c>
      <c r="AL123" t="s">
        <v>155</v>
      </c>
      <c r="AM123" t="s">
        <v>49</v>
      </c>
      <c r="AN123">
        <v>8.1199999999999994E-2</v>
      </c>
      <c r="AO123">
        <v>0.22</v>
      </c>
      <c r="AP123">
        <v>13.185</v>
      </c>
      <c r="AQ123">
        <v>0.08</v>
      </c>
      <c r="AR123">
        <v>1000</v>
      </c>
      <c r="AS123">
        <v>1000</v>
      </c>
    </row>
    <row r="124" spans="1:45" x14ac:dyDescent="0.2">
      <c r="A124" t="s">
        <v>269</v>
      </c>
      <c r="B124" t="s">
        <v>168</v>
      </c>
      <c r="C124" t="s">
        <v>169</v>
      </c>
      <c r="D124" t="s">
        <v>170</v>
      </c>
      <c r="E124">
        <v>30.056699999999999</v>
      </c>
      <c r="F124">
        <v>-89.479209999999995</v>
      </c>
      <c r="G124" t="s">
        <v>270</v>
      </c>
      <c r="H124" t="s">
        <v>179</v>
      </c>
      <c r="I124">
        <v>11.1557377</v>
      </c>
      <c r="J124">
        <v>9</v>
      </c>
      <c r="K124">
        <v>4.7</v>
      </c>
      <c r="L124" t="s">
        <v>68</v>
      </c>
      <c r="M124">
        <f t="shared" si="1"/>
        <v>4.3</v>
      </c>
      <c r="N124">
        <v>9.1300000000000008</v>
      </c>
      <c r="O124">
        <v>13.97</v>
      </c>
      <c r="P124">
        <v>0.85</v>
      </c>
      <c r="Q124">
        <v>0.51763999999999999</v>
      </c>
      <c r="R124">
        <v>-0.142736</v>
      </c>
      <c r="S124">
        <v>0.16764000000000001</v>
      </c>
      <c r="T124">
        <v>0.66037599999999996</v>
      </c>
      <c r="U124">
        <v>0.207264</v>
      </c>
      <c r="V124">
        <v>0.46999890999999999</v>
      </c>
      <c r="W124">
        <v>-33.746010380000001</v>
      </c>
      <c r="X124">
        <v>2.7084103800000001</v>
      </c>
      <c r="Y124">
        <v>18.017989620000002</v>
      </c>
      <c r="Z124">
        <v>9.27</v>
      </c>
      <c r="AA124">
        <v>29.92</v>
      </c>
      <c r="AB124">
        <v>0.48799999999999999</v>
      </c>
      <c r="AC124">
        <v>26.7</v>
      </c>
      <c r="AD124">
        <v>1508</v>
      </c>
      <c r="AE124">
        <v>13.50483942</v>
      </c>
      <c r="AF124">
        <v>2.3956576549999999</v>
      </c>
      <c r="AG124" t="s">
        <v>174</v>
      </c>
      <c r="AH124">
        <v>1</v>
      </c>
      <c r="AI124">
        <v>0</v>
      </c>
      <c r="AJ124">
        <v>0</v>
      </c>
      <c r="AK124">
        <v>0</v>
      </c>
      <c r="AL124" t="s">
        <v>155</v>
      </c>
      <c r="AM124" t="s">
        <v>49</v>
      </c>
      <c r="AN124">
        <v>-0.36919999999999997</v>
      </c>
      <c r="AO124">
        <v>0.98</v>
      </c>
      <c r="AP124">
        <v>18.037500000000001</v>
      </c>
      <c r="AQ124">
        <v>0.02</v>
      </c>
      <c r="AR124">
        <v>6</v>
      </c>
      <c r="AS124">
        <v>48.8556338</v>
      </c>
    </row>
    <row r="125" spans="1:45" x14ac:dyDescent="0.2">
      <c r="A125" t="s">
        <v>271</v>
      </c>
      <c r="B125" t="s">
        <v>168</v>
      </c>
      <c r="C125" t="s">
        <v>169</v>
      </c>
      <c r="D125" t="s">
        <v>170</v>
      </c>
      <c r="E125">
        <v>30.056699999999999</v>
      </c>
      <c r="F125">
        <v>-89.447959999999995</v>
      </c>
      <c r="G125" t="s">
        <v>175</v>
      </c>
      <c r="H125" t="s">
        <v>179</v>
      </c>
      <c r="I125">
        <v>11.398907100000001</v>
      </c>
      <c r="J125">
        <v>9.8000000000000007</v>
      </c>
      <c r="K125">
        <v>3.6</v>
      </c>
      <c r="L125" t="s">
        <v>68</v>
      </c>
      <c r="M125">
        <f t="shared" si="1"/>
        <v>6.2000000000000011</v>
      </c>
      <c r="N125">
        <v>9.1300000000000008</v>
      </c>
      <c r="O125">
        <v>13.97</v>
      </c>
      <c r="P125">
        <v>0.85</v>
      </c>
      <c r="Q125">
        <v>0.511544</v>
      </c>
      <c r="R125">
        <v>-0.1976</v>
      </c>
      <c r="S125">
        <v>0.16154399999999999</v>
      </c>
      <c r="T125">
        <v>0.709144</v>
      </c>
      <c r="U125">
        <v>0.15240000000000001</v>
      </c>
      <c r="V125">
        <v>0.50644721000000004</v>
      </c>
      <c r="W125">
        <v>-37.09498765</v>
      </c>
      <c r="X125">
        <v>1.180587654</v>
      </c>
      <c r="Y125">
        <v>14.059412350000001</v>
      </c>
      <c r="Z125">
        <v>10.37</v>
      </c>
      <c r="AA125">
        <v>17.61</v>
      </c>
      <c r="AB125">
        <v>0.85650000000000004</v>
      </c>
      <c r="AC125">
        <v>26.7</v>
      </c>
      <c r="AD125">
        <v>1508</v>
      </c>
      <c r="AE125">
        <v>15.164454859999999</v>
      </c>
      <c r="AF125">
        <v>2.1214600520000002</v>
      </c>
      <c r="AG125" t="s">
        <v>174</v>
      </c>
      <c r="AH125">
        <v>1</v>
      </c>
      <c r="AI125">
        <v>0</v>
      </c>
      <c r="AJ125">
        <v>0</v>
      </c>
      <c r="AK125">
        <v>0</v>
      </c>
      <c r="AL125" t="s">
        <v>155</v>
      </c>
      <c r="AM125" t="s">
        <v>49</v>
      </c>
      <c r="AN125">
        <v>-0.30449999999999999</v>
      </c>
      <c r="AO125">
        <v>0.96</v>
      </c>
      <c r="AP125">
        <v>17.414999999999999</v>
      </c>
      <c r="AQ125">
        <v>0.01</v>
      </c>
      <c r="AR125">
        <v>2</v>
      </c>
      <c r="AS125">
        <v>57.192118229999998</v>
      </c>
    </row>
    <row r="126" spans="1:45" x14ac:dyDescent="0.2">
      <c r="A126" t="s">
        <v>272</v>
      </c>
      <c r="B126" t="s">
        <v>168</v>
      </c>
      <c r="C126" t="s">
        <v>169</v>
      </c>
      <c r="D126" t="s">
        <v>170</v>
      </c>
      <c r="E126">
        <v>29.49783</v>
      </c>
      <c r="F126">
        <v>-90.041740000000004</v>
      </c>
      <c r="G126" t="s">
        <v>194</v>
      </c>
      <c r="H126" t="s">
        <v>243</v>
      </c>
      <c r="I126">
        <v>13.02191781</v>
      </c>
      <c r="J126">
        <v>9.6</v>
      </c>
      <c r="K126">
        <v>6.5</v>
      </c>
      <c r="L126" t="s">
        <v>68</v>
      </c>
      <c r="M126">
        <f t="shared" si="1"/>
        <v>3.0999999999999996</v>
      </c>
      <c r="N126">
        <v>9.1300000000000008</v>
      </c>
      <c r="O126">
        <v>13.97</v>
      </c>
      <c r="P126">
        <v>0.85</v>
      </c>
      <c r="Q126">
        <v>0.53897600000000001</v>
      </c>
      <c r="R126">
        <v>-0.20064799999999999</v>
      </c>
      <c r="S126">
        <v>0.18897600000000001</v>
      </c>
      <c r="T126">
        <v>0.73962399999999995</v>
      </c>
      <c r="U126">
        <v>0.14935200000000001</v>
      </c>
      <c r="V126">
        <v>0.52678658300000003</v>
      </c>
      <c r="W126">
        <v>-39.073059999999998</v>
      </c>
      <c r="X126">
        <v>0.11065999999999999</v>
      </c>
      <c r="Y126">
        <v>14.824540000000001</v>
      </c>
      <c r="Z126">
        <v>7.47</v>
      </c>
      <c r="AA126">
        <v>36.590000000000003</v>
      </c>
      <c r="AB126">
        <v>0.25850000000000001</v>
      </c>
      <c r="AC126">
        <v>26.7</v>
      </c>
      <c r="AD126">
        <v>1508</v>
      </c>
      <c r="AE126">
        <v>4.8070182399999997</v>
      </c>
      <c r="AF126">
        <v>2.0678691320000002</v>
      </c>
      <c r="AG126" t="s">
        <v>174</v>
      </c>
      <c r="AH126">
        <v>1</v>
      </c>
      <c r="AI126">
        <v>0</v>
      </c>
      <c r="AJ126">
        <v>0</v>
      </c>
      <c r="AK126">
        <v>0</v>
      </c>
      <c r="AL126" t="s">
        <v>155</v>
      </c>
      <c r="AM126" t="s">
        <v>49</v>
      </c>
      <c r="AN126">
        <v>9.7600000000000006E-2</v>
      </c>
      <c r="AO126">
        <v>0.57999999999999996</v>
      </c>
      <c r="AP126">
        <v>12.005000000000001</v>
      </c>
      <c r="AQ126">
        <v>0.05</v>
      </c>
      <c r="AR126">
        <v>0</v>
      </c>
      <c r="AS126">
        <v>1000</v>
      </c>
    </row>
    <row r="127" spans="1:45" x14ac:dyDescent="0.2">
      <c r="A127" t="s">
        <v>273</v>
      </c>
      <c r="B127" t="s">
        <v>168</v>
      </c>
      <c r="C127" t="s">
        <v>169</v>
      </c>
      <c r="D127" t="s">
        <v>274</v>
      </c>
      <c r="E127">
        <v>29.49783</v>
      </c>
      <c r="F127">
        <v>-91.854290000000006</v>
      </c>
      <c r="G127" t="s">
        <v>276</v>
      </c>
      <c r="H127" t="s">
        <v>277</v>
      </c>
      <c r="I127">
        <v>12.45355191</v>
      </c>
      <c r="J127">
        <v>8.6</v>
      </c>
      <c r="K127">
        <v>2.7</v>
      </c>
      <c r="L127" t="s">
        <v>68</v>
      </c>
      <c r="M127">
        <f t="shared" si="1"/>
        <v>5.8999999999999995</v>
      </c>
      <c r="N127">
        <v>7.84</v>
      </c>
      <c r="O127">
        <v>16.16</v>
      </c>
      <c r="P127">
        <v>0.83</v>
      </c>
      <c r="Q127">
        <v>0.58774400000000004</v>
      </c>
      <c r="R127">
        <v>-0.18235999999999999</v>
      </c>
      <c r="S127">
        <v>0.23774400000000001</v>
      </c>
      <c r="T127">
        <v>0.77010400000000001</v>
      </c>
      <c r="U127">
        <v>0.16764000000000001</v>
      </c>
      <c r="V127">
        <v>0.54551592999999998</v>
      </c>
      <c r="W127">
        <v>-40.971239310000001</v>
      </c>
      <c r="X127">
        <v>-1.0391606929999999</v>
      </c>
      <c r="Y127">
        <v>17.803160689999999</v>
      </c>
      <c r="Z127">
        <v>13.46</v>
      </c>
      <c r="AA127">
        <v>48.09</v>
      </c>
      <c r="AB127">
        <v>0.2515</v>
      </c>
      <c r="AC127">
        <v>26.7</v>
      </c>
      <c r="AD127">
        <v>1508</v>
      </c>
      <c r="AE127">
        <v>16.914700669999998</v>
      </c>
      <c r="AF127">
        <v>5.0722728049999999</v>
      </c>
      <c r="AG127" t="s">
        <v>171</v>
      </c>
      <c r="AH127">
        <v>1</v>
      </c>
      <c r="AI127">
        <v>0</v>
      </c>
      <c r="AJ127">
        <v>0</v>
      </c>
      <c r="AK127">
        <v>0</v>
      </c>
      <c r="AL127" t="s">
        <v>155</v>
      </c>
      <c r="AM127" t="s">
        <v>275</v>
      </c>
      <c r="AN127">
        <v>-1.6567000000000001</v>
      </c>
      <c r="AO127">
        <v>0.9</v>
      </c>
      <c r="AP127">
        <v>541.35249999999996</v>
      </c>
      <c r="AQ127">
        <v>0.24</v>
      </c>
      <c r="AR127">
        <v>0</v>
      </c>
      <c r="AS127">
        <v>326.765558</v>
      </c>
    </row>
    <row r="128" spans="1:45" x14ac:dyDescent="0.2">
      <c r="A128" t="s">
        <v>278</v>
      </c>
      <c r="B128" t="s">
        <v>168</v>
      </c>
      <c r="C128" t="s">
        <v>169</v>
      </c>
      <c r="D128" t="s">
        <v>274</v>
      </c>
      <c r="E128">
        <v>29.570409999999999</v>
      </c>
      <c r="F128">
        <v>-91.854290000000006</v>
      </c>
      <c r="G128" t="s">
        <v>279</v>
      </c>
      <c r="H128" t="s">
        <v>280</v>
      </c>
      <c r="I128">
        <v>12.431693989999999</v>
      </c>
      <c r="J128">
        <v>8.8000000000000007</v>
      </c>
      <c r="K128">
        <v>5.7</v>
      </c>
      <c r="L128" t="s">
        <v>68</v>
      </c>
      <c r="M128">
        <f t="shared" si="1"/>
        <v>3.1000000000000005</v>
      </c>
      <c r="N128">
        <v>7.84</v>
      </c>
      <c r="O128">
        <v>15.22</v>
      </c>
      <c r="P128">
        <v>0.83</v>
      </c>
      <c r="Q128">
        <v>0.52983199999999997</v>
      </c>
      <c r="R128">
        <v>-0.18235999999999999</v>
      </c>
      <c r="S128">
        <v>0.17983199999999999</v>
      </c>
      <c r="T128">
        <v>0.71219200000000005</v>
      </c>
      <c r="U128">
        <v>0.16764000000000001</v>
      </c>
      <c r="V128">
        <v>0.50855949</v>
      </c>
      <c r="W128">
        <v>-37.296583159999997</v>
      </c>
      <c r="X128">
        <v>1.0773831549999999</v>
      </c>
      <c r="Y128">
        <v>15.686616839999999</v>
      </c>
      <c r="Z128">
        <v>9.52</v>
      </c>
      <c r="AA128">
        <v>44.76</v>
      </c>
      <c r="AB128">
        <v>0.2215</v>
      </c>
      <c r="AC128">
        <v>26.7</v>
      </c>
      <c r="AD128">
        <v>1508</v>
      </c>
      <c r="AE128">
        <v>5.4547378719999999</v>
      </c>
      <c r="AF128">
        <v>3.334760111</v>
      </c>
      <c r="AG128" t="s">
        <v>171</v>
      </c>
      <c r="AH128">
        <v>1</v>
      </c>
      <c r="AI128">
        <v>0</v>
      </c>
      <c r="AJ128">
        <v>0</v>
      </c>
      <c r="AK128">
        <v>0</v>
      </c>
      <c r="AL128" t="s">
        <v>155</v>
      </c>
      <c r="AM128" t="s">
        <v>275</v>
      </c>
      <c r="AN128">
        <v>-0.36399999999999999</v>
      </c>
      <c r="AO128">
        <v>0.95</v>
      </c>
      <c r="AP128">
        <v>14.895</v>
      </c>
      <c r="AQ128">
        <v>0.26</v>
      </c>
      <c r="AR128">
        <v>5</v>
      </c>
      <c r="AS128">
        <v>40.920329670000001</v>
      </c>
    </row>
    <row r="129" spans="1:45" x14ac:dyDescent="0.2">
      <c r="A129" t="s">
        <v>281</v>
      </c>
      <c r="B129" t="s">
        <v>168</v>
      </c>
      <c r="C129" t="s">
        <v>169</v>
      </c>
      <c r="D129" t="s">
        <v>274</v>
      </c>
      <c r="E129">
        <v>29.635729999999999</v>
      </c>
      <c r="F129">
        <v>-92.260540000000006</v>
      </c>
      <c r="G129" s="1">
        <v>40333</v>
      </c>
      <c r="H129" s="1">
        <v>44140</v>
      </c>
      <c r="I129">
        <v>10.095890410000001</v>
      </c>
      <c r="J129">
        <v>12.8</v>
      </c>
      <c r="K129">
        <v>1.6</v>
      </c>
      <c r="L129" t="s">
        <v>68</v>
      </c>
      <c r="M129">
        <f t="shared" si="1"/>
        <v>11.200000000000001</v>
      </c>
      <c r="N129">
        <v>6.55</v>
      </c>
      <c r="O129">
        <v>21.19</v>
      </c>
      <c r="P129">
        <v>0.83</v>
      </c>
      <c r="Q129">
        <v>0.63956000000000002</v>
      </c>
      <c r="R129">
        <v>-0.142736</v>
      </c>
      <c r="S129">
        <v>0.28955999999999998</v>
      </c>
      <c r="T129">
        <v>0.78229599999999999</v>
      </c>
      <c r="U129">
        <v>0.207264</v>
      </c>
      <c r="V129">
        <v>0.55259901600000005</v>
      </c>
      <c r="W129">
        <v>-41.709555199999997</v>
      </c>
      <c r="X129">
        <v>-1.5200448040000001</v>
      </c>
      <c r="Y129">
        <v>22.246444799999999</v>
      </c>
      <c r="Z129">
        <v>19.59</v>
      </c>
      <c r="AA129">
        <v>41.43</v>
      </c>
      <c r="AB129">
        <v>0.13850000000000001</v>
      </c>
      <c r="AC129">
        <v>26.7</v>
      </c>
      <c r="AD129">
        <v>1508</v>
      </c>
      <c r="AE129">
        <v>2.0916302369999999</v>
      </c>
      <c r="AF129">
        <v>4.4988461959999997</v>
      </c>
      <c r="AG129" t="s">
        <v>171</v>
      </c>
      <c r="AH129">
        <v>1</v>
      </c>
      <c r="AI129">
        <v>0</v>
      </c>
      <c r="AJ129">
        <v>0</v>
      </c>
      <c r="AK129">
        <v>0</v>
      </c>
      <c r="AL129" t="s">
        <v>155</v>
      </c>
      <c r="AM129" t="s">
        <v>275</v>
      </c>
      <c r="AN129">
        <v>-2.7696999999999998</v>
      </c>
      <c r="AO129">
        <v>0.85</v>
      </c>
      <c r="AP129">
        <v>559.50250000000005</v>
      </c>
      <c r="AQ129">
        <v>0.66</v>
      </c>
      <c r="AR129">
        <v>0</v>
      </c>
      <c r="AS129">
        <v>202.00834029999999</v>
      </c>
    </row>
    <row r="130" spans="1:45" x14ac:dyDescent="0.2">
      <c r="A130" t="s">
        <v>282</v>
      </c>
      <c r="B130" t="s">
        <v>168</v>
      </c>
      <c r="C130" t="s">
        <v>169</v>
      </c>
      <c r="D130" t="s">
        <v>274</v>
      </c>
      <c r="E130">
        <v>29.534120000000001</v>
      </c>
      <c r="F130">
        <v>-91.885540000000006</v>
      </c>
      <c r="G130" t="s">
        <v>276</v>
      </c>
      <c r="H130" t="s">
        <v>277</v>
      </c>
      <c r="I130">
        <v>12.45355191</v>
      </c>
      <c r="J130">
        <v>12.2</v>
      </c>
      <c r="K130">
        <v>7.7</v>
      </c>
      <c r="L130" t="s">
        <v>68</v>
      </c>
      <c r="M130">
        <f t="shared" si="1"/>
        <v>4.4999999999999991</v>
      </c>
      <c r="N130">
        <v>7.84</v>
      </c>
      <c r="O130">
        <v>15.22</v>
      </c>
      <c r="P130">
        <v>0.83</v>
      </c>
      <c r="Q130">
        <v>0.7817752</v>
      </c>
      <c r="R130">
        <v>-0.59584720000000002</v>
      </c>
      <c r="S130">
        <v>0.16154399999999999</v>
      </c>
      <c r="T130">
        <v>1.3776223999999999</v>
      </c>
      <c r="U130">
        <v>2.4383999999999999E-2</v>
      </c>
      <c r="V130">
        <v>0.54978142100000005</v>
      </c>
      <c r="W130">
        <v>-68.308061089999995</v>
      </c>
      <c r="X130">
        <v>-7.4310589140000003</v>
      </c>
      <c r="Y130">
        <v>9.8694589140000009</v>
      </c>
      <c r="Z130">
        <v>7.52</v>
      </c>
      <c r="AA130">
        <v>35.35</v>
      </c>
      <c r="AB130">
        <v>0.2465</v>
      </c>
      <c r="AC130">
        <v>26.7</v>
      </c>
      <c r="AD130">
        <v>1508</v>
      </c>
      <c r="AE130">
        <v>27.953587850000002</v>
      </c>
      <c r="AF130">
        <v>6.6802105489999999</v>
      </c>
      <c r="AG130" t="s">
        <v>171</v>
      </c>
      <c r="AH130">
        <v>1</v>
      </c>
      <c r="AI130">
        <v>0</v>
      </c>
      <c r="AJ130">
        <v>0</v>
      </c>
      <c r="AK130">
        <v>0</v>
      </c>
      <c r="AL130" t="s">
        <v>155</v>
      </c>
      <c r="AM130" t="s">
        <v>275</v>
      </c>
      <c r="AN130">
        <v>-2.851</v>
      </c>
      <c r="AO130">
        <v>0.92</v>
      </c>
      <c r="AP130">
        <v>101.87</v>
      </c>
      <c r="AQ130">
        <v>0</v>
      </c>
      <c r="AR130">
        <v>0</v>
      </c>
      <c r="AS130">
        <v>35.731322339999998</v>
      </c>
    </row>
    <row r="131" spans="1:45" x14ac:dyDescent="0.2">
      <c r="A131" t="s">
        <v>283</v>
      </c>
      <c r="B131" t="s">
        <v>168</v>
      </c>
      <c r="C131" t="s">
        <v>169</v>
      </c>
      <c r="D131" t="s">
        <v>274</v>
      </c>
      <c r="E131">
        <v>29.642990000000001</v>
      </c>
      <c r="F131">
        <v>-92.229290000000006</v>
      </c>
      <c r="G131" s="1">
        <v>39847</v>
      </c>
      <c r="H131" t="s">
        <v>284</v>
      </c>
      <c r="I131">
        <v>11.471232880000001</v>
      </c>
      <c r="J131">
        <v>10.9</v>
      </c>
      <c r="K131">
        <v>1</v>
      </c>
      <c r="L131" t="s">
        <v>68</v>
      </c>
      <c r="M131">
        <f t="shared" ref="M131:M194" si="2">+J131-K131</f>
        <v>9.9</v>
      </c>
      <c r="N131">
        <v>6.55</v>
      </c>
      <c r="O131">
        <v>18.36</v>
      </c>
      <c r="P131">
        <v>0.83</v>
      </c>
      <c r="Q131">
        <v>1.2139816000000001</v>
      </c>
      <c r="R131">
        <v>-0.51903759999999999</v>
      </c>
      <c r="S131">
        <v>0.39014399999999999</v>
      </c>
      <c r="T131">
        <v>1.7330192</v>
      </c>
      <c r="U131">
        <v>0.30480000000000002</v>
      </c>
      <c r="V131">
        <v>0.52462292399999999</v>
      </c>
      <c r="W131">
        <v>-79.095689199999995</v>
      </c>
      <c r="X131">
        <v>-11.8224708</v>
      </c>
      <c r="Y131">
        <v>42.302470800000002</v>
      </c>
      <c r="Z131">
        <v>17.36</v>
      </c>
      <c r="AA131">
        <v>40.85</v>
      </c>
      <c r="AB131">
        <v>0.17</v>
      </c>
      <c r="AC131">
        <v>26.7</v>
      </c>
      <c r="AD131">
        <v>1508</v>
      </c>
      <c r="AE131">
        <v>19.5646588</v>
      </c>
      <c r="AF131">
        <v>10.36479673</v>
      </c>
      <c r="AG131" t="s">
        <v>171</v>
      </c>
      <c r="AH131">
        <v>1</v>
      </c>
      <c r="AI131">
        <v>0</v>
      </c>
      <c r="AJ131">
        <v>0</v>
      </c>
      <c r="AK131">
        <v>0</v>
      </c>
      <c r="AL131" t="s">
        <v>155</v>
      </c>
      <c r="AM131" t="s">
        <v>275</v>
      </c>
      <c r="AN131">
        <v>2.3E-2</v>
      </c>
      <c r="AO131">
        <v>1.6899999999999998E-2</v>
      </c>
      <c r="AP131">
        <v>635.07249999999999</v>
      </c>
      <c r="AQ131">
        <v>0.03</v>
      </c>
      <c r="AR131">
        <v>0</v>
      </c>
      <c r="AS131">
        <v>1000</v>
      </c>
    </row>
    <row r="132" spans="1:45" x14ac:dyDescent="0.2">
      <c r="A132" t="s">
        <v>285</v>
      </c>
      <c r="B132" t="s">
        <v>168</v>
      </c>
      <c r="C132" t="s">
        <v>169</v>
      </c>
      <c r="D132" t="s">
        <v>274</v>
      </c>
      <c r="E132">
        <v>29.58492</v>
      </c>
      <c r="F132">
        <v>-91.885540000000006</v>
      </c>
      <c r="G132" t="s">
        <v>279</v>
      </c>
      <c r="H132" t="s">
        <v>286</v>
      </c>
      <c r="I132">
        <v>12.45355191</v>
      </c>
      <c r="J132">
        <v>12.4</v>
      </c>
      <c r="K132">
        <v>4.4000000000000004</v>
      </c>
      <c r="L132" t="s">
        <v>68</v>
      </c>
      <c r="M132">
        <f t="shared" si="2"/>
        <v>8</v>
      </c>
      <c r="N132">
        <v>7.84</v>
      </c>
      <c r="O132">
        <v>15.22</v>
      </c>
      <c r="P132">
        <v>0.83</v>
      </c>
      <c r="Q132">
        <v>0.9387472</v>
      </c>
      <c r="R132">
        <v>-0.33524320000000002</v>
      </c>
      <c r="S132">
        <v>0.24384</v>
      </c>
      <c r="T132">
        <v>1.2739904</v>
      </c>
      <c r="U132">
        <v>0.35966399999999998</v>
      </c>
      <c r="V132">
        <v>0.45454282899999998</v>
      </c>
      <c r="W132">
        <v>-64.632132999999996</v>
      </c>
      <c r="X132">
        <v>6.7238130030000001</v>
      </c>
      <c r="Y132">
        <v>29.242587</v>
      </c>
      <c r="Z132">
        <v>10.82</v>
      </c>
      <c r="AA132">
        <v>33.72</v>
      </c>
      <c r="AB132">
        <v>0.28149999999999997</v>
      </c>
      <c r="AC132">
        <v>26.7</v>
      </c>
      <c r="AD132">
        <v>1508</v>
      </c>
      <c r="AE132">
        <v>14.03561642</v>
      </c>
      <c r="AF132">
        <v>7.6402158809999996</v>
      </c>
      <c r="AG132" t="s">
        <v>171</v>
      </c>
      <c r="AH132">
        <v>1</v>
      </c>
      <c r="AI132">
        <v>0</v>
      </c>
      <c r="AJ132">
        <v>0</v>
      </c>
      <c r="AK132">
        <v>0</v>
      </c>
      <c r="AL132" t="s">
        <v>155</v>
      </c>
      <c r="AM132" t="s">
        <v>275</v>
      </c>
      <c r="AN132">
        <v>-0.97489999999999999</v>
      </c>
      <c r="AO132">
        <v>0.73</v>
      </c>
      <c r="AP132">
        <v>16.155000000000001</v>
      </c>
      <c r="AQ132">
        <v>0.71</v>
      </c>
      <c r="AR132">
        <v>20</v>
      </c>
      <c r="AS132">
        <v>16.570930350000001</v>
      </c>
    </row>
    <row r="133" spans="1:45" x14ac:dyDescent="0.2">
      <c r="A133" t="s">
        <v>287</v>
      </c>
      <c r="B133" t="s">
        <v>168</v>
      </c>
      <c r="C133" t="s">
        <v>169</v>
      </c>
      <c r="D133" t="s">
        <v>274</v>
      </c>
      <c r="E133">
        <v>29.497820000000001</v>
      </c>
      <c r="F133">
        <v>-91.823040000000006</v>
      </c>
      <c r="G133" t="s">
        <v>276</v>
      </c>
      <c r="H133" t="s">
        <v>277</v>
      </c>
      <c r="I133">
        <v>12.45355191</v>
      </c>
      <c r="J133">
        <v>7.3</v>
      </c>
      <c r="K133">
        <v>0.9</v>
      </c>
      <c r="L133" t="s">
        <v>68</v>
      </c>
      <c r="M133">
        <f t="shared" si="2"/>
        <v>6.3999999999999995</v>
      </c>
      <c r="N133">
        <v>7.84</v>
      </c>
      <c r="O133">
        <v>15.22</v>
      </c>
      <c r="P133">
        <v>0.83</v>
      </c>
      <c r="Q133">
        <v>0.68515360000000003</v>
      </c>
      <c r="R133">
        <v>-0.5297056</v>
      </c>
      <c r="S133">
        <v>5.4864000000000003E-2</v>
      </c>
      <c r="T133">
        <v>1.2148592</v>
      </c>
      <c r="U133">
        <v>0.10058400000000001</v>
      </c>
      <c r="V133">
        <v>0.481183005</v>
      </c>
      <c r="W133">
        <v>-62.398243229999999</v>
      </c>
      <c r="X133">
        <v>3.9412832330000001</v>
      </c>
      <c r="Y133">
        <v>6.1171167669999997</v>
      </c>
      <c r="Z133">
        <v>14.32</v>
      </c>
      <c r="AA133">
        <v>21.82</v>
      </c>
      <c r="AB133">
        <v>0.26</v>
      </c>
      <c r="AC133">
        <v>26.7</v>
      </c>
      <c r="AD133">
        <v>1508</v>
      </c>
      <c r="AE133">
        <v>31.407708800000002</v>
      </c>
      <c r="AF133">
        <v>6.7266492490000003</v>
      </c>
      <c r="AG133" t="s">
        <v>171</v>
      </c>
      <c r="AH133">
        <v>1</v>
      </c>
      <c r="AI133">
        <v>0</v>
      </c>
      <c r="AJ133">
        <v>0</v>
      </c>
      <c r="AK133">
        <v>0</v>
      </c>
      <c r="AL133" t="s">
        <v>155</v>
      </c>
      <c r="AM133" t="s">
        <v>275</v>
      </c>
      <c r="AN133">
        <v>3.3399999999999999E-2</v>
      </c>
      <c r="AO133">
        <v>0.43</v>
      </c>
      <c r="AP133">
        <v>46.207500000000003</v>
      </c>
      <c r="AQ133">
        <v>0.25</v>
      </c>
      <c r="AR133">
        <v>6</v>
      </c>
      <c r="AS133">
        <v>1000</v>
      </c>
    </row>
    <row r="134" spans="1:45" x14ac:dyDescent="0.2">
      <c r="A134" t="s">
        <v>288</v>
      </c>
      <c r="B134" t="s">
        <v>168</v>
      </c>
      <c r="C134" t="s">
        <v>169</v>
      </c>
      <c r="D134" t="s">
        <v>274</v>
      </c>
      <c r="E134">
        <v>29.577670000000001</v>
      </c>
      <c r="F134">
        <v>-91.823040000000006</v>
      </c>
      <c r="G134" s="1">
        <v>39634</v>
      </c>
      <c r="H134" t="s">
        <v>280</v>
      </c>
      <c r="I134">
        <v>12.03561644</v>
      </c>
      <c r="J134">
        <v>10.6</v>
      </c>
      <c r="K134">
        <v>5.7</v>
      </c>
      <c r="L134" t="s">
        <v>68</v>
      </c>
      <c r="M134">
        <f t="shared" si="2"/>
        <v>4.8999999999999995</v>
      </c>
      <c r="N134">
        <v>7.84</v>
      </c>
      <c r="O134">
        <v>16.16</v>
      </c>
      <c r="P134">
        <v>0.83</v>
      </c>
      <c r="Q134">
        <v>0.7595248</v>
      </c>
      <c r="R134">
        <v>-0.32366080000000003</v>
      </c>
      <c r="S134">
        <v>0.14630399999999999</v>
      </c>
      <c r="T134">
        <v>1.0831856</v>
      </c>
      <c r="U134">
        <v>0.28955999999999998</v>
      </c>
      <c r="V134">
        <v>0.43387282799999999</v>
      </c>
      <c r="W134">
        <v>-57.005892469999999</v>
      </c>
      <c r="X134">
        <v>10.009412469999999</v>
      </c>
      <c r="Y134">
        <v>18.946587529999999</v>
      </c>
      <c r="Z134">
        <v>10.46</v>
      </c>
      <c r="AA134">
        <v>24.08</v>
      </c>
      <c r="AB134">
        <v>0.24149999999999999</v>
      </c>
      <c r="AC134">
        <v>26.7</v>
      </c>
      <c r="AD134">
        <v>1508</v>
      </c>
      <c r="AE134">
        <v>14.49532477</v>
      </c>
      <c r="AF134">
        <v>6.6330496539999997</v>
      </c>
      <c r="AG134" t="s">
        <v>171</v>
      </c>
      <c r="AH134">
        <v>1</v>
      </c>
      <c r="AI134">
        <v>0</v>
      </c>
      <c r="AJ134">
        <v>0</v>
      </c>
      <c r="AK134">
        <v>0</v>
      </c>
      <c r="AL134" t="s">
        <v>155</v>
      </c>
      <c r="AM134" t="s">
        <v>275</v>
      </c>
      <c r="AN134">
        <v>-1.589</v>
      </c>
      <c r="AO134">
        <v>0.99</v>
      </c>
      <c r="AP134">
        <v>42.322499999999998</v>
      </c>
      <c r="AQ134">
        <v>0.21</v>
      </c>
      <c r="AR134">
        <v>47</v>
      </c>
      <c r="AS134">
        <v>26.634675900000001</v>
      </c>
    </row>
    <row r="135" spans="1:45" x14ac:dyDescent="0.2">
      <c r="A135" t="s">
        <v>289</v>
      </c>
      <c r="B135" t="s">
        <v>168</v>
      </c>
      <c r="C135" t="s">
        <v>169</v>
      </c>
      <c r="D135" t="s">
        <v>274</v>
      </c>
      <c r="E135">
        <v>29.548629999999999</v>
      </c>
      <c r="F135">
        <v>-91.823040000000006</v>
      </c>
      <c r="G135" t="s">
        <v>290</v>
      </c>
      <c r="H135" t="s">
        <v>280</v>
      </c>
      <c r="I135">
        <v>11.601092899999999</v>
      </c>
      <c r="J135">
        <v>10.5</v>
      </c>
      <c r="K135">
        <v>3.6</v>
      </c>
      <c r="L135" t="s">
        <v>68</v>
      </c>
      <c r="M135">
        <f t="shared" si="2"/>
        <v>6.9</v>
      </c>
      <c r="N135">
        <v>7.84</v>
      </c>
      <c r="O135">
        <v>16.16</v>
      </c>
      <c r="P135">
        <v>0.83</v>
      </c>
      <c r="Q135">
        <v>0.84060159999999995</v>
      </c>
      <c r="R135">
        <v>-0.48398560000000002</v>
      </c>
      <c r="S135">
        <v>9.4488000000000003E-2</v>
      </c>
      <c r="T135">
        <v>1.3245872000000001</v>
      </c>
      <c r="U135">
        <v>0.26212800000000003</v>
      </c>
      <c r="V135">
        <v>0.43671990799999999</v>
      </c>
      <c r="W135">
        <v>-66.462778360000001</v>
      </c>
      <c r="X135">
        <v>8.6154183569999994</v>
      </c>
      <c r="Y135">
        <v>17.597381639999998</v>
      </c>
      <c r="Z135">
        <v>12.56</v>
      </c>
      <c r="AA135">
        <v>45.33</v>
      </c>
      <c r="AB135">
        <v>0.20499999999999999</v>
      </c>
      <c r="AC135">
        <v>26.7</v>
      </c>
      <c r="AD135">
        <v>1508</v>
      </c>
      <c r="AE135">
        <v>14.49532477</v>
      </c>
      <c r="AF135">
        <v>6.6330496539999997</v>
      </c>
      <c r="AG135" t="s">
        <v>171</v>
      </c>
      <c r="AH135">
        <v>1</v>
      </c>
      <c r="AI135">
        <v>0</v>
      </c>
      <c r="AJ135">
        <v>0</v>
      </c>
      <c r="AK135">
        <v>0</v>
      </c>
      <c r="AL135" t="s">
        <v>155</v>
      </c>
      <c r="AM135" t="s">
        <v>275</v>
      </c>
      <c r="AN135">
        <v>-0.2198</v>
      </c>
      <c r="AO135">
        <v>0.95</v>
      </c>
      <c r="AP135">
        <v>131.98249999999999</v>
      </c>
      <c r="AQ135">
        <v>0.04</v>
      </c>
      <c r="AR135">
        <v>20</v>
      </c>
      <c r="AS135">
        <v>600.46633299999996</v>
      </c>
    </row>
    <row r="136" spans="1:45" x14ac:dyDescent="0.2">
      <c r="A136" t="s">
        <v>291</v>
      </c>
      <c r="B136" t="s">
        <v>168</v>
      </c>
      <c r="C136" t="s">
        <v>169</v>
      </c>
      <c r="D136" t="s">
        <v>274</v>
      </c>
      <c r="E136">
        <v>29.599440000000001</v>
      </c>
      <c r="F136">
        <v>-91.916790000000006</v>
      </c>
      <c r="G136" s="1">
        <v>39634</v>
      </c>
      <c r="H136" t="s">
        <v>277</v>
      </c>
      <c r="I136">
        <v>12.05479452</v>
      </c>
      <c r="J136">
        <v>10.5</v>
      </c>
      <c r="K136">
        <v>2.8</v>
      </c>
      <c r="L136" t="s">
        <v>68</v>
      </c>
      <c r="M136">
        <f t="shared" si="2"/>
        <v>7.7</v>
      </c>
      <c r="N136">
        <v>7.84</v>
      </c>
      <c r="O136">
        <v>16.16</v>
      </c>
      <c r="P136">
        <v>0.83</v>
      </c>
      <c r="Q136">
        <v>1.1444871999999999</v>
      </c>
      <c r="R136">
        <v>-0.59584720000000002</v>
      </c>
      <c r="S136">
        <v>0.21945600000000001</v>
      </c>
      <c r="T136">
        <v>1.7403344000000001</v>
      </c>
      <c r="U136">
        <v>0.32918399999999998</v>
      </c>
      <c r="V136">
        <v>0.46847502400000002</v>
      </c>
      <c r="W136">
        <v>-79.293677630000005</v>
      </c>
      <c r="X136">
        <v>-2.236642373</v>
      </c>
      <c r="Y136">
        <v>35.155042369999997</v>
      </c>
      <c r="Z136">
        <v>13.36</v>
      </c>
      <c r="AA136">
        <v>50.17</v>
      </c>
      <c r="AB136">
        <v>9.1499999999999998E-2</v>
      </c>
      <c r="AC136">
        <v>26.7</v>
      </c>
      <c r="AD136">
        <v>1508</v>
      </c>
      <c r="AE136">
        <v>26.744257609999998</v>
      </c>
      <c r="AF136">
        <v>5.2585467650000002</v>
      </c>
      <c r="AG136" t="s">
        <v>171</v>
      </c>
      <c r="AH136">
        <v>1</v>
      </c>
      <c r="AI136">
        <v>0</v>
      </c>
      <c r="AJ136">
        <v>0</v>
      </c>
      <c r="AK136">
        <v>0</v>
      </c>
      <c r="AL136" t="s">
        <v>155</v>
      </c>
      <c r="AM136" t="s">
        <v>275</v>
      </c>
      <c r="AN136">
        <v>-0.1002</v>
      </c>
      <c r="AO136">
        <v>0.99</v>
      </c>
      <c r="AP136">
        <v>115.685</v>
      </c>
      <c r="AQ136">
        <v>0.14000000000000001</v>
      </c>
      <c r="AR136">
        <v>0</v>
      </c>
      <c r="AS136">
        <v>1154.5409179999999</v>
      </c>
    </row>
    <row r="137" spans="1:45" x14ac:dyDescent="0.2">
      <c r="A137" t="s">
        <v>292</v>
      </c>
      <c r="B137" t="s">
        <v>168</v>
      </c>
      <c r="C137" t="s">
        <v>169</v>
      </c>
      <c r="D137" t="s">
        <v>274</v>
      </c>
      <c r="E137">
        <v>29.577670000000001</v>
      </c>
      <c r="F137">
        <v>-92.010540000000006</v>
      </c>
      <c r="G137" t="s">
        <v>279</v>
      </c>
      <c r="H137" t="s">
        <v>277</v>
      </c>
      <c r="I137">
        <v>12.45081967</v>
      </c>
      <c r="J137">
        <v>9.9</v>
      </c>
      <c r="K137">
        <v>0.6</v>
      </c>
      <c r="L137" t="s">
        <v>68</v>
      </c>
      <c r="M137">
        <f t="shared" si="2"/>
        <v>9.3000000000000007</v>
      </c>
      <c r="N137">
        <v>7.84</v>
      </c>
      <c r="O137">
        <v>16.16</v>
      </c>
      <c r="P137">
        <v>0.83</v>
      </c>
      <c r="Q137">
        <v>1.0868800000000001</v>
      </c>
      <c r="R137">
        <v>-0.48642400000000002</v>
      </c>
      <c r="S137">
        <v>0.26212800000000003</v>
      </c>
      <c r="T137">
        <v>1.573304</v>
      </c>
      <c r="U137">
        <v>0.33832800000000002</v>
      </c>
      <c r="V137">
        <v>0.47578344700000003</v>
      </c>
      <c r="W137">
        <v>-74.551032770000006</v>
      </c>
      <c r="X137">
        <v>-0.30416723400000001</v>
      </c>
      <c r="Y137">
        <v>34.136967230000003</v>
      </c>
      <c r="Z137">
        <v>15.56</v>
      </c>
      <c r="AA137">
        <v>31.25</v>
      </c>
      <c r="AB137">
        <v>0.40150000000000002</v>
      </c>
      <c r="AC137">
        <v>26.7</v>
      </c>
      <c r="AD137">
        <v>1508</v>
      </c>
      <c r="AE137">
        <v>30.530362449999998</v>
      </c>
      <c r="AF137">
        <v>7.8124635319999998</v>
      </c>
      <c r="AG137" t="s">
        <v>171</v>
      </c>
      <c r="AH137">
        <v>1</v>
      </c>
      <c r="AI137">
        <v>0</v>
      </c>
      <c r="AJ137">
        <v>0</v>
      </c>
      <c r="AK137">
        <v>0</v>
      </c>
      <c r="AL137" t="s">
        <v>155</v>
      </c>
      <c r="AM137" t="s">
        <v>275</v>
      </c>
      <c r="AN137">
        <v>-2.2523</v>
      </c>
      <c r="AO137">
        <v>0.8</v>
      </c>
      <c r="AP137">
        <v>685.38</v>
      </c>
      <c r="AQ137">
        <v>0.2</v>
      </c>
      <c r="AR137">
        <v>0</v>
      </c>
      <c r="AS137">
        <v>304.30226879999998</v>
      </c>
    </row>
    <row r="138" spans="1:45" x14ac:dyDescent="0.2">
      <c r="A138" t="s">
        <v>293</v>
      </c>
      <c r="B138" t="s">
        <v>168</v>
      </c>
      <c r="C138" t="s">
        <v>169</v>
      </c>
      <c r="D138" t="s">
        <v>274</v>
      </c>
      <c r="E138">
        <v>29.853470000000002</v>
      </c>
      <c r="F138">
        <v>-91.948040000000006</v>
      </c>
      <c r="G138" t="s">
        <v>294</v>
      </c>
      <c r="H138" s="1">
        <v>44016</v>
      </c>
      <c r="I138">
        <v>11.43715847</v>
      </c>
      <c r="J138">
        <v>9.3000000000000007</v>
      </c>
      <c r="K138">
        <v>5</v>
      </c>
      <c r="L138" t="s">
        <v>68</v>
      </c>
      <c r="M138">
        <f t="shared" si="2"/>
        <v>4.3000000000000007</v>
      </c>
      <c r="N138">
        <v>6.55</v>
      </c>
      <c r="O138">
        <v>19.100000000000001</v>
      </c>
      <c r="P138">
        <v>0.83</v>
      </c>
      <c r="Q138">
        <v>0.922288</v>
      </c>
      <c r="R138">
        <v>-0.27001599999999998</v>
      </c>
      <c r="S138">
        <v>0.23469599999999999</v>
      </c>
      <c r="T138">
        <v>1.192304</v>
      </c>
      <c r="U138">
        <v>0.417576</v>
      </c>
      <c r="V138">
        <v>0.42330814999999999</v>
      </c>
      <c r="W138">
        <v>-61.51736511</v>
      </c>
      <c r="X138">
        <v>11.04616511</v>
      </c>
      <c r="Y138">
        <v>30.71143489</v>
      </c>
      <c r="Z138">
        <v>14.1</v>
      </c>
      <c r="AA138">
        <v>22.08</v>
      </c>
      <c r="AB138">
        <v>0.31</v>
      </c>
      <c r="AC138">
        <v>25.2</v>
      </c>
      <c r="AD138">
        <v>1530</v>
      </c>
      <c r="AE138">
        <v>15.861497269999999</v>
      </c>
      <c r="AF138">
        <v>10.29864229</v>
      </c>
      <c r="AG138" t="s">
        <v>171</v>
      </c>
      <c r="AH138">
        <v>1</v>
      </c>
      <c r="AI138">
        <v>0</v>
      </c>
      <c r="AJ138">
        <v>0</v>
      </c>
      <c r="AK138">
        <v>0</v>
      </c>
      <c r="AL138" t="s">
        <v>155</v>
      </c>
      <c r="AM138" t="s">
        <v>275</v>
      </c>
      <c r="AN138">
        <v>-0.51100000000000001</v>
      </c>
      <c r="AO138">
        <v>0.72</v>
      </c>
      <c r="AP138">
        <v>792.20249999999999</v>
      </c>
      <c r="AQ138">
        <v>0.02</v>
      </c>
      <c r="AR138">
        <v>71</v>
      </c>
      <c r="AS138">
        <v>1550.298434</v>
      </c>
    </row>
    <row r="139" spans="1:45" x14ac:dyDescent="0.2">
      <c r="A139" t="s">
        <v>295</v>
      </c>
      <c r="B139" t="s">
        <v>168</v>
      </c>
      <c r="C139" t="s">
        <v>169</v>
      </c>
      <c r="D139" t="s">
        <v>274</v>
      </c>
      <c r="E139">
        <v>29.642990000000001</v>
      </c>
      <c r="F139">
        <v>-92.166790000000006</v>
      </c>
      <c r="G139" t="s">
        <v>296</v>
      </c>
      <c r="H139" s="1">
        <v>44140</v>
      </c>
      <c r="I139">
        <v>11.491803279999999</v>
      </c>
      <c r="J139">
        <v>6.5</v>
      </c>
      <c r="K139">
        <v>1.5</v>
      </c>
      <c r="L139" t="s">
        <v>68</v>
      </c>
      <c r="M139">
        <f t="shared" si="2"/>
        <v>5</v>
      </c>
      <c r="N139">
        <v>6.55</v>
      </c>
      <c r="O139">
        <v>19.100000000000001</v>
      </c>
      <c r="P139">
        <v>0.83</v>
      </c>
      <c r="Q139">
        <v>1.0035216</v>
      </c>
      <c r="R139">
        <v>-0.39087359999999999</v>
      </c>
      <c r="S139">
        <v>0.25907999999999998</v>
      </c>
      <c r="T139">
        <v>1.3943951999999999</v>
      </c>
      <c r="U139">
        <v>0.35356799999999999</v>
      </c>
      <c r="V139">
        <v>0.46611864400000003</v>
      </c>
      <c r="W139">
        <v>-68.876883699999993</v>
      </c>
      <c r="X139">
        <v>3.8815236959999999</v>
      </c>
      <c r="Y139">
        <v>31.475276300000001</v>
      </c>
      <c r="Z139">
        <v>17.600000000000001</v>
      </c>
      <c r="AA139">
        <v>28.59</v>
      </c>
      <c r="AB139">
        <v>0.29149999999999998</v>
      </c>
      <c r="AC139">
        <v>25.2</v>
      </c>
      <c r="AD139">
        <v>1530</v>
      </c>
      <c r="AE139">
        <v>19.5646588</v>
      </c>
      <c r="AF139">
        <v>10.36479673</v>
      </c>
      <c r="AG139" t="s">
        <v>171</v>
      </c>
      <c r="AH139">
        <v>1</v>
      </c>
      <c r="AI139">
        <v>0</v>
      </c>
      <c r="AJ139">
        <v>0</v>
      </c>
      <c r="AK139">
        <v>0</v>
      </c>
      <c r="AL139" t="s">
        <v>155</v>
      </c>
      <c r="AM139" t="s">
        <v>275</v>
      </c>
      <c r="AN139">
        <v>2.07E-2</v>
      </c>
      <c r="AO139">
        <v>0.27</v>
      </c>
      <c r="AP139">
        <v>431.3</v>
      </c>
      <c r="AQ139">
        <v>0.01</v>
      </c>
      <c r="AR139">
        <v>8</v>
      </c>
      <c r="AS139">
        <v>1000</v>
      </c>
    </row>
    <row r="140" spans="1:45" x14ac:dyDescent="0.2">
      <c r="A140" t="s">
        <v>297</v>
      </c>
      <c r="B140" t="s">
        <v>168</v>
      </c>
      <c r="C140" t="s">
        <v>169</v>
      </c>
      <c r="D140" t="s">
        <v>274</v>
      </c>
      <c r="E140">
        <v>29.58492</v>
      </c>
      <c r="F140">
        <v>-92.260540000000006</v>
      </c>
      <c r="G140" t="s">
        <v>298</v>
      </c>
      <c r="H140" t="s">
        <v>299</v>
      </c>
      <c r="I140">
        <v>11.8442623</v>
      </c>
      <c r="J140">
        <v>11.1</v>
      </c>
      <c r="K140">
        <v>5.2</v>
      </c>
      <c r="L140" t="s">
        <v>68</v>
      </c>
      <c r="M140">
        <f t="shared" si="2"/>
        <v>5.8999999999999995</v>
      </c>
      <c r="N140">
        <v>6.55</v>
      </c>
      <c r="O140">
        <v>19.100000000000001</v>
      </c>
      <c r="P140">
        <v>0.83</v>
      </c>
      <c r="Q140">
        <v>1.0060655999999999</v>
      </c>
      <c r="R140">
        <v>-0.61287360000000002</v>
      </c>
      <c r="S140">
        <v>0.32003999999999999</v>
      </c>
      <c r="T140">
        <v>1.6189392</v>
      </c>
      <c r="U140">
        <v>7.3151999999999995E-2</v>
      </c>
      <c r="V140">
        <v>0.57624993000000002</v>
      </c>
      <c r="W140">
        <v>-75.895021229999998</v>
      </c>
      <c r="X140">
        <v>-17.39633877</v>
      </c>
      <c r="Y140">
        <v>24.711538770000001</v>
      </c>
      <c r="Z140">
        <v>13.9</v>
      </c>
      <c r="AA140">
        <v>49.36</v>
      </c>
      <c r="AB140">
        <v>0.23150000000000001</v>
      </c>
      <c r="AC140">
        <v>25.2</v>
      </c>
      <c r="AD140">
        <v>1530</v>
      </c>
      <c r="AE140">
        <v>1.7522773780000001</v>
      </c>
      <c r="AF140">
        <v>4.4196836910000004</v>
      </c>
      <c r="AG140" t="s">
        <v>171</v>
      </c>
      <c r="AH140">
        <v>1</v>
      </c>
      <c r="AI140">
        <v>0</v>
      </c>
      <c r="AJ140">
        <v>0</v>
      </c>
      <c r="AK140">
        <v>0</v>
      </c>
      <c r="AL140" t="s">
        <v>155</v>
      </c>
      <c r="AM140" t="s">
        <v>275</v>
      </c>
      <c r="AN140">
        <v>-0.83850000000000002</v>
      </c>
      <c r="AO140">
        <v>0.97</v>
      </c>
      <c r="AP140">
        <v>3527.9349999999999</v>
      </c>
      <c r="AQ140">
        <v>0.01</v>
      </c>
      <c r="AR140">
        <v>0</v>
      </c>
      <c r="AS140">
        <v>4207.4358970000003</v>
      </c>
    </row>
    <row r="141" spans="1:45" x14ac:dyDescent="0.2">
      <c r="A141" t="s">
        <v>300</v>
      </c>
      <c r="B141" t="s">
        <v>168</v>
      </c>
      <c r="C141" t="s">
        <v>169</v>
      </c>
      <c r="D141" t="s">
        <v>274</v>
      </c>
      <c r="E141">
        <v>29.79542</v>
      </c>
      <c r="F141">
        <v>-92.854309999999998</v>
      </c>
      <c r="G141" s="1">
        <v>39329</v>
      </c>
      <c r="H141" t="s">
        <v>301</v>
      </c>
      <c r="I141">
        <v>12.931693989999999</v>
      </c>
      <c r="J141">
        <v>6</v>
      </c>
      <c r="K141">
        <v>-2</v>
      </c>
      <c r="L141" t="s">
        <v>68</v>
      </c>
      <c r="M141">
        <f t="shared" si="2"/>
        <v>8</v>
      </c>
      <c r="N141">
        <v>6.55</v>
      </c>
      <c r="O141">
        <v>16.739999999999998</v>
      </c>
      <c r="P141">
        <v>0.83</v>
      </c>
      <c r="Q141">
        <v>0.70431359999999998</v>
      </c>
      <c r="R141">
        <v>-0.39341759999999998</v>
      </c>
      <c r="S141">
        <v>0.225552</v>
      </c>
      <c r="T141">
        <v>1.0977311999999999</v>
      </c>
      <c r="U141">
        <v>8.5344000000000003E-2</v>
      </c>
      <c r="V141">
        <v>0.56386262899999995</v>
      </c>
      <c r="W141">
        <v>-57.632882950000003</v>
      </c>
      <c r="X141">
        <v>-4.2640770530000003</v>
      </c>
      <c r="Y141">
        <v>12.798477050000001</v>
      </c>
      <c r="Z141">
        <v>18.739999999999998</v>
      </c>
      <c r="AA141">
        <v>33.57</v>
      </c>
      <c r="AB141">
        <v>0.36799999999999999</v>
      </c>
      <c r="AC141">
        <v>25.2</v>
      </c>
      <c r="AD141">
        <v>1530</v>
      </c>
      <c r="AE141">
        <v>7.0614251299999999</v>
      </c>
      <c r="AF141">
        <v>2.9983538740000002</v>
      </c>
      <c r="AG141" t="s">
        <v>171</v>
      </c>
      <c r="AH141">
        <v>1</v>
      </c>
      <c r="AI141">
        <v>0</v>
      </c>
      <c r="AJ141">
        <v>0</v>
      </c>
      <c r="AK141">
        <v>0</v>
      </c>
      <c r="AL141" t="s">
        <v>155</v>
      </c>
      <c r="AM141" t="s">
        <v>275</v>
      </c>
      <c r="AN141">
        <v>-4.7100000000000003E-2</v>
      </c>
      <c r="AO141">
        <v>0.26</v>
      </c>
      <c r="AP141">
        <v>225.3</v>
      </c>
      <c r="AQ141">
        <v>0.03</v>
      </c>
      <c r="AR141">
        <v>0</v>
      </c>
      <c r="AS141">
        <v>4783.4394899999998</v>
      </c>
    </row>
    <row r="142" spans="1:45" x14ac:dyDescent="0.2">
      <c r="A142" t="s">
        <v>302</v>
      </c>
      <c r="B142" t="s">
        <v>168</v>
      </c>
      <c r="C142" t="s">
        <v>169</v>
      </c>
      <c r="D142" t="s">
        <v>274</v>
      </c>
      <c r="E142">
        <v>29.79542</v>
      </c>
      <c r="F142">
        <v>-92.916809999999998</v>
      </c>
      <c r="G142" t="s">
        <v>303</v>
      </c>
      <c r="H142" t="s">
        <v>304</v>
      </c>
      <c r="I142">
        <v>12.32054795</v>
      </c>
      <c r="J142">
        <v>3.4</v>
      </c>
      <c r="K142">
        <v>4.5</v>
      </c>
      <c r="L142" t="s">
        <v>68</v>
      </c>
      <c r="M142">
        <f t="shared" si="2"/>
        <v>-1.1000000000000001</v>
      </c>
      <c r="N142">
        <v>6.55</v>
      </c>
      <c r="O142">
        <v>18.36</v>
      </c>
      <c r="P142">
        <v>0.83</v>
      </c>
      <c r="Q142">
        <v>0.52935840000000001</v>
      </c>
      <c r="R142">
        <v>-0.4958304</v>
      </c>
      <c r="S142">
        <v>7.6200000000000004E-2</v>
      </c>
      <c r="T142">
        <v>1.0251888</v>
      </c>
      <c r="U142">
        <v>-4.2672000000000002E-2</v>
      </c>
      <c r="V142">
        <v>0.55797566300000001</v>
      </c>
      <c r="W142">
        <v>-54.419300999999997</v>
      </c>
      <c r="X142">
        <v>-2.7837389950000002</v>
      </c>
      <c r="Y142">
        <v>-1.4834610050000001</v>
      </c>
      <c r="Z142">
        <v>13.86</v>
      </c>
      <c r="AA142">
        <v>58</v>
      </c>
      <c r="AB142">
        <v>0.307</v>
      </c>
      <c r="AC142">
        <v>25.2</v>
      </c>
      <c r="AD142">
        <v>1530</v>
      </c>
      <c r="AE142">
        <v>19.00047898</v>
      </c>
      <c r="AF142">
        <v>6.600773716</v>
      </c>
      <c r="AG142" t="s">
        <v>171</v>
      </c>
      <c r="AH142">
        <v>1</v>
      </c>
      <c r="AI142">
        <v>0</v>
      </c>
      <c r="AJ142">
        <v>0</v>
      </c>
      <c r="AK142">
        <v>0</v>
      </c>
      <c r="AL142" t="s">
        <v>155</v>
      </c>
      <c r="AM142" t="s">
        <v>275</v>
      </c>
      <c r="AN142">
        <v>-0.21879999999999999</v>
      </c>
      <c r="AO142">
        <v>0.25</v>
      </c>
      <c r="AP142">
        <v>1695.71</v>
      </c>
      <c r="AQ142">
        <v>0</v>
      </c>
      <c r="AR142">
        <v>0</v>
      </c>
      <c r="AS142">
        <v>7750.0457040000001</v>
      </c>
    </row>
    <row r="143" spans="1:45" x14ac:dyDescent="0.2">
      <c r="A143" t="s">
        <v>305</v>
      </c>
      <c r="B143" t="s">
        <v>168</v>
      </c>
      <c r="C143" t="s">
        <v>169</v>
      </c>
      <c r="D143" t="s">
        <v>274</v>
      </c>
      <c r="E143">
        <v>29.77364</v>
      </c>
      <c r="F143">
        <v>-92.823059999999998</v>
      </c>
      <c r="G143" t="s">
        <v>306</v>
      </c>
      <c r="H143" s="1">
        <v>43954</v>
      </c>
      <c r="I143">
        <v>12.38797814</v>
      </c>
      <c r="J143">
        <v>4.9000000000000004</v>
      </c>
      <c r="K143">
        <v>1.1000000000000001</v>
      </c>
      <c r="L143" t="s">
        <v>68</v>
      </c>
      <c r="M143">
        <f t="shared" si="2"/>
        <v>3.8000000000000003</v>
      </c>
      <c r="N143">
        <v>6.55</v>
      </c>
      <c r="O143">
        <v>16.739999999999998</v>
      </c>
      <c r="P143">
        <v>0.83</v>
      </c>
      <c r="Q143">
        <v>0.72168719999999997</v>
      </c>
      <c r="R143">
        <v>-0.51137520000000003</v>
      </c>
      <c r="S143">
        <v>0.17983199999999999</v>
      </c>
      <c r="T143">
        <v>1.2330623999999999</v>
      </c>
      <c r="U143">
        <v>3.048E-2</v>
      </c>
      <c r="V143">
        <v>0.56056141199999998</v>
      </c>
      <c r="W143">
        <v>-63.097312500000001</v>
      </c>
      <c r="X143">
        <v>-6.0234075049999998</v>
      </c>
      <c r="Y143">
        <v>9.0714075049999998</v>
      </c>
      <c r="Z143">
        <v>15.64</v>
      </c>
      <c r="AA143">
        <v>42.39</v>
      </c>
      <c r="AB143">
        <v>9.1499999999999998E-2</v>
      </c>
      <c r="AC143">
        <v>25.2</v>
      </c>
      <c r="AD143">
        <v>1530</v>
      </c>
      <c r="AE143">
        <v>6.8321824969999998</v>
      </c>
      <c r="AF143">
        <v>3.3818212829999998</v>
      </c>
      <c r="AG143" t="s">
        <v>171</v>
      </c>
      <c r="AH143">
        <v>1</v>
      </c>
      <c r="AI143">
        <v>0</v>
      </c>
      <c r="AJ143">
        <v>0</v>
      </c>
      <c r="AK143">
        <v>0</v>
      </c>
      <c r="AL143" t="s">
        <v>155</v>
      </c>
      <c r="AM143" t="s">
        <v>275</v>
      </c>
      <c r="AN143">
        <v>6.1100000000000002E-2</v>
      </c>
      <c r="AO143">
        <v>0.18</v>
      </c>
      <c r="AP143">
        <v>29.234999999999999</v>
      </c>
      <c r="AQ143">
        <v>0.24</v>
      </c>
      <c r="AR143">
        <v>0</v>
      </c>
      <c r="AS143">
        <v>1000</v>
      </c>
    </row>
    <row r="144" spans="1:45" x14ac:dyDescent="0.2">
      <c r="A144" t="s">
        <v>307</v>
      </c>
      <c r="B144" t="s">
        <v>168</v>
      </c>
      <c r="C144" t="s">
        <v>169</v>
      </c>
      <c r="D144" t="s">
        <v>274</v>
      </c>
      <c r="E144">
        <v>29.672029999999999</v>
      </c>
      <c r="F144">
        <v>-92.666799999999995</v>
      </c>
      <c r="G144" s="1">
        <v>39206</v>
      </c>
      <c r="H144" t="s">
        <v>192</v>
      </c>
      <c r="I144">
        <v>12.945355190000001</v>
      </c>
      <c r="J144">
        <v>11.9</v>
      </c>
      <c r="K144">
        <v>-4.5999999999999996</v>
      </c>
      <c r="L144" t="s">
        <v>68</v>
      </c>
      <c r="M144">
        <f t="shared" si="2"/>
        <v>16.5</v>
      </c>
      <c r="N144">
        <v>6.55</v>
      </c>
      <c r="O144">
        <v>16.739999999999998</v>
      </c>
      <c r="P144">
        <v>0.83</v>
      </c>
      <c r="Q144">
        <v>0.93718080000000004</v>
      </c>
      <c r="R144">
        <v>-0.54398880000000005</v>
      </c>
      <c r="S144">
        <v>0.27127200000000001</v>
      </c>
      <c r="T144">
        <v>1.4811696000000001</v>
      </c>
      <c r="U144">
        <v>0.12192</v>
      </c>
      <c r="V144">
        <v>0.55041691400000003</v>
      </c>
      <c r="W144">
        <v>-71.71455641</v>
      </c>
      <c r="X144">
        <v>-9.8115235920000003</v>
      </c>
      <c r="Y144">
        <v>22.00352359</v>
      </c>
      <c r="Z144">
        <v>21.34</v>
      </c>
      <c r="AA144">
        <v>87.68</v>
      </c>
      <c r="AB144">
        <v>0.34699999999999998</v>
      </c>
      <c r="AC144">
        <v>25.2</v>
      </c>
      <c r="AD144">
        <v>1530</v>
      </c>
      <c r="AE144">
        <v>15.87236676</v>
      </c>
      <c r="AF144">
        <v>7.264107793</v>
      </c>
      <c r="AG144" t="s">
        <v>171</v>
      </c>
      <c r="AH144">
        <v>1</v>
      </c>
      <c r="AI144">
        <v>0</v>
      </c>
      <c r="AJ144">
        <v>0</v>
      </c>
      <c r="AK144">
        <v>0</v>
      </c>
      <c r="AL144" t="s">
        <v>155</v>
      </c>
      <c r="AM144" t="s">
        <v>275</v>
      </c>
      <c r="AN144">
        <v>0.54700000000000004</v>
      </c>
      <c r="AO144">
        <v>0.85</v>
      </c>
      <c r="AP144">
        <v>807.9</v>
      </c>
      <c r="AQ144">
        <v>0.02</v>
      </c>
      <c r="AR144">
        <v>0</v>
      </c>
      <c r="AS144">
        <v>1000</v>
      </c>
    </row>
    <row r="145" spans="1:45" x14ac:dyDescent="0.2">
      <c r="A145" t="s">
        <v>308</v>
      </c>
      <c r="B145" t="s">
        <v>168</v>
      </c>
      <c r="C145" t="s">
        <v>169</v>
      </c>
      <c r="D145" t="s">
        <v>274</v>
      </c>
      <c r="E145">
        <v>29.809930000000001</v>
      </c>
      <c r="F145">
        <v>-92.979309999999998</v>
      </c>
      <c r="G145" t="s">
        <v>303</v>
      </c>
      <c r="H145" t="s">
        <v>304</v>
      </c>
      <c r="I145">
        <v>12.32054795</v>
      </c>
      <c r="J145">
        <v>2.2999999999999998</v>
      </c>
      <c r="K145">
        <v>-0.7</v>
      </c>
      <c r="L145" t="s">
        <v>68</v>
      </c>
      <c r="M145">
        <f t="shared" si="2"/>
        <v>3</v>
      </c>
      <c r="N145">
        <v>6.55</v>
      </c>
      <c r="O145">
        <v>16.739999999999998</v>
      </c>
      <c r="P145">
        <v>0.83</v>
      </c>
      <c r="Q145">
        <v>0.51899519999999999</v>
      </c>
      <c r="R145">
        <v>-0.50375519999999996</v>
      </c>
      <c r="S145">
        <v>5.4864000000000003E-2</v>
      </c>
      <c r="T145">
        <v>1.0227504000000001</v>
      </c>
      <c r="U145">
        <v>-3.9623999999999999E-2</v>
      </c>
      <c r="V145">
        <v>0.54619308899999996</v>
      </c>
      <c r="W145">
        <v>-54.307370089999999</v>
      </c>
      <c r="X145">
        <v>-1.5545499119999999</v>
      </c>
      <c r="Y145">
        <v>-2.407850088</v>
      </c>
      <c r="Z145">
        <v>17.440000000000001</v>
      </c>
      <c r="AA145">
        <v>37.49</v>
      </c>
      <c r="AB145">
        <v>0.26200000000000001</v>
      </c>
      <c r="AC145">
        <v>25.2</v>
      </c>
      <c r="AD145">
        <v>1530</v>
      </c>
      <c r="AE145">
        <v>7.9013299229999996</v>
      </c>
      <c r="AF145">
        <v>6.0059978850000002</v>
      </c>
      <c r="AG145" t="s">
        <v>171</v>
      </c>
      <c r="AH145">
        <v>1</v>
      </c>
      <c r="AI145">
        <v>0</v>
      </c>
      <c r="AJ145">
        <v>0</v>
      </c>
      <c r="AK145">
        <v>0</v>
      </c>
      <c r="AL145" t="s">
        <v>155</v>
      </c>
      <c r="AM145" t="s">
        <v>275</v>
      </c>
      <c r="AN145">
        <v>-0.28129999999999999</v>
      </c>
      <c r="AO145">
        <v>0.53</v>
      </c>
      <c r="AP145">
        <v>4538.9250000000002</v>
      </c>
      <c r="AQ145">
        <v>0.02</v>
      </c>
      <c r="AR145">
        <v>0</v>
      </c>
      <c r="AS145">
        <v>16135.53146</v>
      </c>
    </row>
    <row r="146" spans="1:45" x14ac:dyDescent="0.2">
      <c r="A146" t="s">
        <v>309</v>
      </c>
      <c r="B146" t="s">
        <v>168</v>
      </c>
      <c r="C146" t="s">
        <v>169</v>
      </c>
      <c r="D146" t="s">
        <v>274</v>
      </c>
      <c r="E146">
        <v>29.786259999999999</v>
      </c>
      <c r="F146">
        <v>-92.791820000000001</v>
      </c>
      <c r="G146" t="s">
        <v>310</v>
      </c>
      <c r="H146" s="1">
        <v>43954</v>
      </c>
      <c r="I146">
        <v>8.9726775960000005</v>
      </c>
      <c r="J146">
        <v>16.8</v>
      </c>
      <c r="K146">
        <v>2.5</v>
      </c>
      <c r="L146" t="s">
        <v>68</v>
      </c>
      <c r="M146">
        <f t="shared" si="2"/>
        <v>14.3</v>
      </c>
      <c r="N146">
        <v>6.55</v>
      </c>
      <c r="O146">
        <v>21.19</v>
      </c>
      <c r="P146">
        <v>0.83</v>
      </c>
      <c r="Q146">
        <v>0.71650559999999996</v>
      </c>
      <c r="R146">
        <v>-3.9849599999999999E-2</v>
      </c>
      <c r="S146">
        <v>0.195072</v>
      </c>
      <c r="T146">
        <v>0.75635520000000001</v>
      </c>
      <c r="U146">
        <v>0.48158400000000001</v>
      </c>
      <c r="V146">
        <v>0.310596926</v>
      </c>
      <c r="W146">
        <v>-40.124493010000002</v>
      </c>
      <c r="X146">
        <v>16.63233301</v>
      </c>
      <c r="Y146">
        <v>31.52606699</v>
      </c>
      <c r="Z146">
        <v>18.690000000000001</v>
      </c>
      <c r="AA146">
        <v>65.25</v>
      </c>
      <c r="AB146">
        <v>0.09</v>
      </c>
      <c r="AC146">
        <v>25.2</v>
      </c>
      <c r="AD146">
        <v>1530</v>
      </c>
      <c r="AE146">
        <v>6.8321824969999998</v>
      </c>
      <c r="AF146">
        <v>3.3818212829999998</v>
      </c>
      <c r="AG146" t="s">
        <v>171</v>
      </c>
      <c r="AH146">
        <v>1</v>
      </c>
      <c r="AI146">
        <v>0</v>
      </c>
      <c r="AJ146">
        <v>0</v>
      </c>
      <c r="AK146">
        <v>0</v>
      </c>
      <c r="AL146" t="s">
        <v>155</v>
      </c>
      <c r="AM146" t="s">
        <v>275</v>
      </c>
      <c r="AN146">
        <v>-1.5086999999999999</v>
      </c>
      <c r="AO146">
        <v>0.61</v>
      </c>
      <c r="AP146">
        <v>140.4975</v>
      </c>
      <c r="AQ146" t="s">
        <v>68</v>
      </c>
      <c r="AR146">
        <v>41</v>
      </c>
      <c r="AS146">
        <v>93.124875720000006</v>
      </c>
    </row>
    <row r="147" spans="1:45" x14ac:dyDescent="0.2">
      <c r="A147" t="s">
        <v>311</v>
      </c>
      <c r="B147" t="s">
        <v>168</v>
      </c>
      <c r="C147" t="s">
        <v>169</v>
      </c>
      <c r="D147" t="s">
        <v>274</v>
      </c>
      <c r="E147">
        <v>29.570409999999999</v>
      </c>
      <c r="F147">
        <v>-92.385549999999995</v>
      </c>
      <c r="G147" t="s">
        <v>312</v>
      </c>
      <c r="H147" t="s">
        <v>299</v>
      </c>
      <c r="I147">
        <v>11.846994540000001</v>
      </c>
      <c r="J147">
        <v>16.399999999999999</v>
      </c>
      <c r="K147">
        <v>4.7</v>
      </c>
      <c r="L147" t="s">
        <v>68</v>
      </c>
      <c r="M147">
        <f t="shared" si="2"/>
        <v>11.7</v>
      </c>
      <c r="N147">
        <v>6.55</v>
      </c>
      <c r="O147">
        <v>18.36</v>
      </c>
      <c r="P147">
        <v>0.83</v>
      </c>
      <c r="Q147">
        <v>0.76771199999999995</v>
      </c>
      <c r="R147">
        <v>-0.47815200000000002</v>
      </c>
      <c r="S147">
        <v>0.210312</v>
      </c>
      <c r="T147">
        <v>1.2458640000000001</v>
      </c>
      <c r="U147">
        <v>7.9247999999999999E-2</v>
      </c>
      <c r="V147">
        <v>0.552599642</v>
      </c>
      <c r="W147">
        <v>-63.582787019999998</v>
      </c>
      <c r="X147">
        <v>-5.2636129780000003</v>
      </c>
      <c r="Y147">
        <v>13.188412980000001</v>
      </c>
      <c r="Z147">
        <v>13.66</v>
      </c>
      <c r="AA147">
        <v>34.520000000000003</v>
      </c>
      <c r="AB147">
        <v>0.2185</v>
      </c>
      <c r="AC147">
        <v>25.2</v>
      </c>
      <c r="AD147">
        <v>1530</v>
      </c>
      <c r="AE147">
        <v>25.016644280000001</v>
      </c>
      <c r="AF147">
        <v>8.1247064719999997</v>
      </c>
      <c r="AG147" t="s">
        <v>171</v>
      </c>
      <c r="AH147">
        <v>1</v>
      </c>
      <c r="AI147">
        <v>0</v>
      </c>
      <c r="AJ147">
        <v>0</v>
      </c>
      <c r="AK147">
        <v>0</v>
      </c>
      <c r="AL147" t="s">
        <v>155</v>
      </c>
      <c r="AM147" t="s">
        <v>275</v>
      </c>
      <c r="AN147">
        <v>-1.47E-2</v>
      </c>
      <c r="AO147">
        <v>0.59</v>
      </c>
      <c r="AP147">
        <v>16.914999999999999</v>
      </c>
      <c r="AQ147">
        <v>0.23</v>
      </c>
      <c r="AR147">
        <v>0</v>
      </c>
      <c r="AS147">
        <v>1150.6802720000001</v>
      </c>
    </row>
    <row r="148" spans="1:45" x14ac:dyDescent="0.2">
      <c r="A148" t="s">
        <v>313</v>
      </c>
      <c r="B148" t="s">
        <v>168</v>
      </c>
      <c r="C148" t="s">
        <v>169</v>
      </c>
      <c r="D148" t="s">
        <v>274</v>
      </c>
      <c r="E148">
        <v>29.56315</v>
      </c>
      <c r="F148">
        <v>-92.323040000000006</v>
      </c>
      <c r="G148" t="s">
        <v>298</v>
      </c>
      <c r="H148" s="1">
        <v>44138</v>
      </c>
      <c r="I148">
        <v>11.401639339999999</v>
      </c>
      <c r="J148">
        <v>7.8</v>
      </c>
      <c r="K148">
        <v>-1.2</v>
      </c>
      <c r="L148" t="s">
        <v>68</v>
      </c>
      <c r="M148">
        <f t="shared" si="2"/>
        <v>9</v>
      </c>
      <c r="N148">
        <v>6.55</v>
      </c>
      <c r="O148">
        <v>18.36</v>
      </c>
      <c r="P148">
        <v>0.83</v>
      </c>
      <c r="Q148">
        <v>0.74241360000000001</v>
      </c>
      <c r="R148">
        <v>-0.3949416</v>
      </c>
      <c r="S148">
        <v>0.19811999999999999</v>
      </c>
      <c r="T148">
        <v>1.1373552</v>
      </c>
      <c r="U148">
        <v>0.14935200000000001</v>
      </c>
      <c r="V148">
        <v>0.52143921299999996</v>
      </c>
      <c r="W148">
        <v>-59.299636800000002</v>
      </c>
      <c r="X148">
        <v>-6.5231969999999997E-3</v>
      </c>
      <c r="Y148">
        <v>14.9417232</v>
      </c>
      <c r="Z148">
        <v>19.559999999999999</v>
      </c>
      <c r="AA148">
        <v>51.31</v>
      </c>
      <c r="AB148">
        <v>0.28299999999999997</v>
      </c>
      <c r="AC148">
        <v>25.2</v>
      </c>
      <c r="AD148">
        <v>1530</v>
      </c>
      <c r="AE148">
        <v>2.418962091</v>
      </c>
      <c r="AF148">
        <v>3.0644041689999999</v>
      </c>
      <c r="AG148" t="s">
        <v>171</v>
      </c>
      <c r="AH148">
        <v>1</v>
      </c>
      <c r="AI148">
        <v>0</v>
      </c>
      <c r="AJ148">
        <v>0</v>
      </c>
      <c r="AK148">
        <v>0</v>
      </c>
      <c r="AL148" t="s">
        <v>155</v>
      </c>
      <c r="AM148" t="s">
        <v>275</v>
      </c>
      <c r="AN148">
        <v>-0.82110000000000005</v>
      </c>
      <c r="AO148">
        <v>0.98</v>
      </c>
      <c r="AP148">
        <v>1818.7550000000001</v>
      </c>
      <c r="AQ148">
        <v>0</v>
      </c>
      <c r="AR148">
        <v>0</v>
      </c>
      <c r="AS148">
        <v>2215.0225310000001</v>
      </c>
    </row>
    <row r="149" spans="1:45" x14ac:dyDescent="0.2">
      <c r="A149" t="s">
        <v>314</v>
      </c>
      <c r="B149" t="s">
        <v>168</v>
      </c>
      <c r="C149" t="s">
        <v>169</v>
      </c>
      <c r="D149" t="s">
        <v>274</v>
      </c>
      <c r="E149">
        <v>29.846229999999998</v>
      </c>
      <c r="F149">
        <v>-93.635570000000001</v>
      </c>
      <c r="G149" t="s">
        <v>315</v>
      </c>
      <c r="H149" s="1">
        <v>44168</v>
      </c>
      <c r="I149">
        <v>9.9863387980000002</v>
      </c>
      <c r="J149">
        <v>6.9</v>
      </c>
      <c r="K149">
        <v>-0.8</v>
      </c>
      <c r="L149" t="s">
        <v>68</v>
      </c>
      <c r="M149">
        <f t="shared" si="2"/>
        <v>7.7</v>
      </c>
      <c r="N149">
        <v>6.04</v>
      </c>
      <c r="O149">
        <v>22.41</v>
      </c>
      <c r="P149">
        <v>0.83</v>
      </c>
      <c r="Q149">
        <v>0.78824559999999999</v>
      </c>
      <c r="R149">
        <v>-0.40724559999999999</v>
      </c>
      <c r="S149">
        <v>0.28346399999999999</v>
      </c>
      <c r="T149">
        <v>1.1954912</v>
      </c>
      <c r="U149">
        <v>9.7535999999999998E-2</v>
      </c>
      <c r="V149">
        <v>0.57776217799999996</v>
      </c>
      <c r="W149">
        <v>-61.642845100000002</v>
      </c>
      <c r="X149">
        <v>-7.4281148999999997</v>
      </c>
      <c r="Y149">
        <v>17.181714899999999</v>
      </c>
      <c r="Z149">
        <v>23.21</v>
      </c>
      <c r="AA149">
        <v>34.22</v>
      </c>
      <c r="AB149">
        <v>0.16</v>
      </c>
      <c r="AC149">
        <v>25.2</v>
      </c>
      <c r="AD149">
        <v>1530</v>
      </c>
      <c r="AE149">
        <v>0.23548661600000001</v>
      </c>
      <c r="AF149">
        <v>0.25306462899999999</v>
      </c>
      <c r="AG149" t="s">
        <v>171</v>
      </c>
      <c r="AH149">
        <v>1</v>
      </c>
      <c r="AI149">
        <v>0</v>
      </c>
      <c r="AJ149">
        <v>0</v>
      </c>
      <c r="AK149">
        <v>0</v>
      </c>
      <c r="AL149" t="s">
        <v>155</v>
      </c>
      <c r="AM149" t="s">
        <v>275</v>
      </c>
      <c r="AN149">
        <v>-0.53510000000000002</v>
      </c>
      <c r="AO149">
        <v>0.95</v>
      </c>
      <c r="AP149">
        <v>12.945</v>
      </c>
      <c r="AQ149">
        <v>0.89</v>
      </c>
      <c r="AR149">
        <v>0</v>
      </c>
      <c r="AS149">
        <v>24.191739859999998</v>
      </c>
    </row>
    <row r="150" spans="1:45" x14ac:dyDescent="0.2">
      <c r="A150" t="s">
        <v>316</v>
      </c>
      <c r="B150" t="s">
        <v>168</v>
      </c>
      <c r="C150" t="s">
        <v>169</v>
      </c>
      <c r="D150" t="s">
        <v>274</v>
      </c>
      <c r="E150">
        <v>29.96236</v>
      </c>
      <c r="F150">
        <v>-93.698070000000001</v>
      </c>
      <c r="G150" s="1">
        <v>39542</v>
      </c>
      <c r="H150" t="s">
        <v>182</v>
      </c>
      <c r="I150">
        <v>12.043835619999999</v>
      </c>
      <c r="J150">
        <v>1.7</v>
      </c>
      <c r="K150">
        <v>6.5</v>
      </c>
      <c r="L150" t="s">
        <v>68</v>
      </c>
      <c r="M150">
        <f t="shared" si="2"/>
        <v>-4.8</v>
      </c>
      <c r="N150">
        <v>6.04</v>
      </c>
      <c r="O150">
        <v>17.13</v>
      </c>
      <c r="P150">
        <v>0.83</v>
      </c>
      <c r="Q150">
        <v>0.75471759999999999</v>
      </c>
      <c r="R150">
        <v>-0.43772559999999999</v>
      </c>
      <c r="S150">
        <v>0.24993599999999999</v>
      </c>
      <c r="T150">
        <v>1.1924432</v>
      </c>
      <c r="U150">
        <v>6.7056000000000004E-2</v>
      </c>
      <c r="V150">
        <v>0.57668289800000005</v>
      </c>
      <c r="W150">
        <v>-61.522852409999999</v>
      </c>
      <c r="X150">
        <v>-7.2433075850000002</v>
      </c>
      <c r="Y150">
        <v>13.948907589999999</v>
      </c>
      <c r="Z150">
        <v>10.63</v>
      </c>
      <c r="AA150">
        <v>75.400000000000006</v>
      </c>
      <c r="AB150">
        <v>6.5000000000000002E-2</v>
      </c>
      <c r="AC150">
        <v>25.2</v>
      </c>
      <c r="AD150">
        <v>1530</v>
      </c>
      <c r="AE150">
        <v>1.0299930960000001</v>
      </c>
      <c r="AF150">
        <v>1.270936898</v>
      </c>
      <c r="AG150" t="s">
        <v>171</v>
      </c>
      <c r="AH150">
        <v>1</v>
      </c>
      <c r="AI150">
        <v>0</v>
      </c>
      <c r="AJ150">
        <v>0</v>
      </c>
      <c r="AK150">
        <v>0</v>
      </c>
      <c r="AL150" t="s">
        <v>155</v>
      </c>
      <c r="AM150" t="s">
        <v>275</v>
      </c>
      <c r="AN150">
        <v>-1.47E-2</v>
      </c>
      <c r="AO150">
        <v>0.1143</v>
      </c>
      <c r="AP150">
        <v>66.394999999999996</v>
      </c>
      <c r="AQ150">
        <v>0.01</v>
      </c>
      <c r="AR150">
        <v>1000</v>
      </c>
      <c r="AS150">
        <v>4516.6666670000004</v>
      </c>
    </row>
    <row r="151" spans="1:45" x14ac:dyDescent="0.2">
      <c r="A151" t="s">
        <v>317</v>
      </c>
      <c r="B151" t="s">
        <v>168</v>
      </c>
      <c r="C151" t="s">
        <v>169</v>
      </c>
      <c r="D151" t="s">
        <v>274</v>
      </c>
      <c r="E151">
        <v>29.88251</v>
      </c>
      <c r="F151">
        <v>-93.729320000000001</v>
      </c>
      <c r="G151" t="s">
        <v>199</v>
      </c>
      <c r="H151" t="s">
        <v>318</v>
      </c>
      <c r="I151">
        <v>12.91803279</v>
      </c>
      <c r="J151">
        <v>5</v>
      </c>
      <c r="K151">
        <v>-4.3</v>
      </c>
      <c r="L151" t="s">
        <v>68</v>
      </c>
      <c r="M151">
        <f t="shared" si="2"/>
        <v>9.3000000000000007</v>
      </c>
      <c r="N151">
        <v>6.04</v>
      </c>
      <c r="O151">
        <v>17.21</v>
      </c>
      <c r="P151">
        <v>0.83</v>
      </c>
      <c r="Q151">
        <v>0.73063840000000002</v>
      </c>
      <c r="R151">
        <v>-0.26734239999999998</v>
      </c>
      <c r="S151">
        <v>0.280416</v>
      </c>
      <c r="T151">
        <v>0.9979808</v>
      </c>
      <c r="U151">
        <v>0.18287999999999999</v>
      </c>
      <c r="V151">
        <v>0.54886667200000006</v>
      </c>
      <c r="W151">
        <v>-53.154994199999997</v>
      </c>
      <c r="X151">
        <v>-1.6208458050000001</v>
      </c>
      <c r="Y151">
        <v>19.908845800000002</v>
      </c>
      <c r="Z151">
        <v>21.51</v>
      </c>
      <c r="AA151">
        <v>61.8</v>
      </c>
      <c r="AB151">
        <v>8.3000000000000004E-2</v>
      </c>
      <c r="AC151">
        <v>25.2</v>
      </c>
      <c r="AD151">
        <v>1530</v>
      </c>
      <c r="AE151">
        <v>10.24820459</v>
      </c>
      <c r="AF151">
        <v>8.3830110690000001</v>
      </c>
      <c r="AG151" t="s">
        <v>171</v>
      </c>
      <c r="AH151">
        <v>1</v>
      </c>
      <c r="AI151">
        <v>0</v>
      </c>
      <c r="AJ151">
        <v>0</v>
      </c>
      <c r="AK151">
        <v>0</v>
      </c>
      <c r="AL151" t="s">
        <v>155</v>
      </c>
      <c r="AM151" t="s">
        <v>275</v>
      </c>
      <c r="AN151">
        <v>-1.5377000000000001</v>
      </c>
      <c r="AO151">
        <v>0.87</v>
      </c>
      <c r="AP151">
        <v>357</v>
      </c>
      <c r="AQ151">
        <v>0.05</v>
      </c>
      <c r="AR151">
        <v>0</v>
      </c>
      <c r="AS151">
        <v>232.16492160000001</v>
      </c>
    </row>
    <row r="152" spans="1:45" x14ac:dyDescent="0.2">
      <c r="A152" t="s">
        <v>319</v>
      </c>
      <c r="B152" t="s">
        <v>168</v>
      </c>
      <c r="C152" t="s">
        <v>169</v>
      </c>
      <c r="D152" t="s">
        <v>274</v>
      </c>
      <c r="E152">
        <v>29.824449999999999</v>
      </c>
      <c r="F152">
        <v>-93.573070000000001</v>
      </c>
      <c r="G152" t="s">
        <v>320</v>
      </c>
      <c r="H152" s="1">
        <v>44168</v>
      </c>
      <c r="I152">
        <v>11.948087429999999</v>
      </c>
      <c r="J152">
        <v>3.3</v>
      </c>
      <c r="K152">
        <v>1.2</v>
      </c>
      <c r="L152" t="s">
        <v>68</v>
      </c>
      <c r="M152">
        <f t="shared" si="2"/>
        <v>2.0999999999999996</v>
      </c>
      <c r="N152">
        <v>6.04</v>
      </c>
      <c r="O152">
        <v>17.13</v>
      </c>
      <c r="P152">
        <v>0.83</v>
      </c>
      <c r="Q152">
        <v>0.79403679999999999</v>
      </c>
      <c r="R152">
        <v>1.97792E-2</v>
      </c>
      <c r="S152">
        <v>0.29260799999999998</v>
      </c>
      <c r="T152">
        <v>0.77425759999999999</v>
      </c>
      <c r="U152">
        <v>0.521208</v>
      </c>
      <c r="V152">
        <v>0.35237471399999998</v>
      </c>
      <c r="W152">
        <v>-41.22407518</v>
      </c>
      <c r="X152">
        <v>13.941195179999999</v>
      </c>
      <c r="Y152">
        <v>38.179604820000002</v>
      </c>
      <c r="Z152">
        <v>15.93</v>
      </c>
      <c r="AA152">
        <v>21.055</v>
      </c>
      <c r="AB152">
        <v>0.26150000000000001</v>
      </c>
      <c r="AC152">
        <v>25.2</v>
      </c>
      <c r="AD152">
        <v>1530</v>
      </c>
      <c r="AE152">
        <v>0.69285085800000001</v>
      </c>
      <c r="AF152">
        <v>0.67493615299999998</v>
      </c>
      <c r="AG152" t="s">
        <v>171</v>
      </c>
      <c r="AH152">
        <v>1</v>
      </c>
      <c r="AI152">
        <v>0</v>
      </c>
      <c r="AJ152">
        <v>0</v>
      </c>
      <c r="AK152">
        <v>0</v>
      </c>
      <c r="AL152" t="s">
        <v>155</v>
      </c>
      <c r="AM152" t="s">
        <v>275</v>
      </c>
      <c r="AN152">
        <v>2.7400000000000001E-2</v>
      </c>
      <c r="AO152">
        <v>1.8200000000000001E-2</v>
      </c>
      <c r="AP152">
        <v>3178.88</v>
      </c>
      <c r="AQ152">
        <v>0</v>
      </c>
      <c r="AR152">
        <v>29</v>
      </c>
      <c r="AS152">
        <v>1000</v>
      </c>
    </row>
    <row r="153" spans="1:45" x14ac:dyDescent="0.2">
      <c r="A153" t="s">
        <v>321</v>
      </c>
      <c r="B153" t="s">
        <v>168</v>
      </c>
      <c r="C153" t="s">
        <v>169</v>
      </c>
      <c r="D153" t="s">
        <v>274</v>
      </c>
      <c r="E153">
        <v>29.889769999999999</v>
      </c>
      <c r="F153">
        <v>-93.666820000000001</v>
      </c>
      <c r="G153" t="s">
        <v>322</v>
      </c>
      <c r="H153" t="s">
        <v>318</v>
      </c>
      <c r="I153">
        <v>9.9644808739999995</v>
      </c>
      <c r="J153">
        <v>6.7</v>
      </c>
      <c r="K153">
        <v>0.7</v>
      </c>
      <c r="L153" t="s">
        <v>68</v>
      </c>
      <c r="M153">
        <f t="shared" si="2"/>
        <v>6</v>
      </c>
      <c r="N153">
        <v>6.04</v>
      </c>
      <c r="O153">
        <v>22.41</v>
      </c>
      <c r="P153">
        <v>0.83</v>
      </c>
      <c r="Q153">
        <v>0.86962720000000004</v>
      </c>
      <c r="R153">
        <v>-0.19297120000000001</v>
      </c>
      <c r="S153">
        <v>0.36271199999999998</v>
      </c>
      <c r="T153">
        <v>1.0625983999999999</v>
      </c>
      <c r="U153">
        <v>0.313944</v>
      </c>
      <c r="V153">
        <v>0.52294752200000005</v>
      </c>
      <c r="W153">
        <v>-56.103933929999997</v>
      </c>
      <c r="X153">
        <v>0.53561393099999999</v>
      </c>
      <c r="Y153">
        <v>30.858786070000001</v>
      </c>
      <c r="Z153">
        <v>21.71</v>
      </c>
      <c r="AA153">
        <v>56.25</v>
      </c>
      <c r="AB153">
        <v>5.5E-2</v>
      </c>
      <c r="AC153">
        <v>25.2</v>
      </c>
      <c r="AD153">
        <v>1530</v>
      </c>
      <c r="AE153">
        <v>1.8484301430000001</v>
      </c>
      <c r="AF153">
        <v>2.298170657</v>
      </c>
      <c r="AG153" t="s">
        <v>171</v>
      </c>
      <c r="AH153">
        <v>1</v>
      </c>
      <c r="AI153">
        <v>0</v>
      </c>
      <c r="AJ153">
        <v>0</v>
      </c>
      <c r="AK153">
        <v>0</v>
      </c>
      <c r="AL153" t="s">
        <v>155</v>
      </c>
      <c r="AM153" t="s">
        <v>275</v>
      </c>
      <c r="AN153">
        <v>0.1273</v>
      </c>
      <c r="AO153">
        <v>0.69</v>
      </c>
      <c r="AP153">
        <v>30.73</v>
      </c>
      <c r="AQ153">
        <v>0.05</v>
      </c>
      <c r="AR153">
        <v>1</v>
      </c>
      <c r="AS153">
        <v>1000</v>
      </c>
    </row>
    <row r="154" spans="1:45" x14ac:dyDescent="0.2">
      <c r="A154" t="s">
        <v>323</v>
      </c>
      <c r="B154" t="s">
        <v>168</v>
      </c>
      <c r="C154" t="s">
        <v>169</v>
      </c>
      <c r="D154" t="s">
        <v>274</v>
      </c>
      <c r="E154">
        <v>29.81719</v>
      </c>
      <c r="F154">
        <v>-93.823080000000004</v>
      </c>
      <c r="G154" t="s">
        <v>324</v>
      </c>
      <c r="H154" s="1">
        <v>44170</v>
      </c>
      <c r="I154">
        <v>10.14794521</v>
      </c>
      <c r="J154">
        <v>6.6</v>
      </c>
      <c r="K154">
        <v>3.2</v>
      </c>
      <c r="L154" t="s">
        <v>68</v>
      </c>
      <c r="M154">
        <f t="shared" si="2"/>
        <v>3.3999999999999995</v>
      </c>
      <c r="N154">
        <v>6.04</v>
      </c>
      <c r="O154">
        <v>22.41</v>
      </c>
      <c r="P154">
        <v>0.83</v>
      </c>
      <c r="Q154">
        <v>0.71265520000000004</v>
      </c>
      <c r="R154">
        <v>-0.33165519999999998</v>
      </c>
      <c r="S154">
        <v>0.23774400000000001</v>
      </c>
      <c r="T154">
        <v>1.0443104000000001</v>
      </c>
      <c r="U154">
        <v>0.14325599999999999</v>
      </c>
      <c r="V154">
        <v>0.54523942299999995</v>
      </c>
      <c r="W154">
        <v>-55.287927940000003</v>
      </c>
      <c r="X154">
        <v>-1.6519920619999999</v>
      </c>
      <c r="Y154">
        <v>15.977592059999999</v>
      </c>
      <c r="Z154">
        <v>19.21</v>
      </c>
      <c r="AA154">
        <v>36.54</v>
      </c>
      <c r="AB154">
        <v>0.1615</v>
      </c>
      <c r="AC154">
        <v>25.2</v>
      </c>
      <c r="AD154">
        <v>1530</v>
      </c>
      <c r="AE154">
        <v>15.0806909</v>
      </c>
      <c r="AF154">
        <v>6.47407222</v>
      </c>
      <c r="AG154" t="s">
        <v>171</v>
      </c>
      <c r="AH154">
        <v>1</v>
      </c>
      <c r="AI154">
        <v>0</v>
      </c>
      <c r="AJ154">
        <v>0</v>
      </c>
      <c r="AK154">
        <v>0</v>
      </c>
      <c r="AL154" t="s">
        <v>155</v>
      </c>
      <c r="AM154" t="s">
        <v>275</v>
      </c>
      <c r="AN154">
        <v>-2.0670000000000002</v>
      </c>
      <c r="AO154">
        <v>0.99</v>
      </c>
      <c r="AP154">
        <v>891.37249999999995</v>
      </c>
      <c r="AQ154">
        <v>0.09</v>
      </c>
      <c r="AR154">
        <v>0</v>
      </c>
      <c r="AS154">
        <v>431.23971940000001</v>
      </c>
    </row>
    <row r="155" spans="1:45" x14ac:dyDescent="0.2">
      <c r="A155" t="s">
        <v>325</v>
      </c>
      <c r="B155" t="s">
        <v>168</v>
      </c>
      <c r="C155" t="s">
        <v>169</v>
      </c>
      <c r="D155" t="s">
        <v>274</v>
      </c>
      <c r="E155">
        <v>29.889769999999999</v>
      </c>
      <c r="F155">
        <v>-93.385570000000001</v>
      </c>
      <c r="G155" t="s">
        <v>194</v>
      </c>
      <c r="H155" t="s">
        <v>240</v>
      </c>
      <c r="I155">
        <v>12.91803279</v>
      </c>
      <c r="J155">
        <v>4</v>
      </c>
      <c r="K155">
        <v>1.5</v>
      </c>
      <c r="L155" t="s">
        <v>68</v>
      </c>
      <c r="M155">
        <f t="shared" si="2"/>
        <v>2.5</v>
      </c>
      <c r="N155">
        <v>6.04</v>
      </c>
      <c r="O155">
        <v>17.21</v>
      </c>
      <c r="P155">
        <v>0.83</v>
      </c>
      <c r="Q155">
        <v>0.82665040000000001</v>
      </c>
      <c r="R155">
        <v>-0.22924240000000001</v>
      </c>
      <c r="S155">
        <v>0.29260799999999998</v>
      </c>
      <c r="T155">
        <v>1.0558928000000001</v>
      </c>
      <c r="U155">
        <v>0.30480000000000002</v>
      </c>
      <c r="V155">
        <v>0.494226687</v>
      </c>
      <c r="W155">
        <v>-55.806374040000001</v>
      </c>
      <c r="X155">
        <v>3.621334037</v>
      </c>
      <c r="Y155">
        <v>26.85866596</v>
      </c>
      <c r="Z155">
        <v>15.71</v>
      </c>
      <c r="AA155">
        <v>20.71</v>
      </c>
      <c r="AB155">
        <v>0.5635</v>
      </c>
      <c r="AC155">
        <v>25.2</v>
      </c>
      <c r="AD155">
        <v>1530</v>
      </c>
      <c r="AE155">
        <v>15.29259849</v>
      </c>
      <c r="AF155">
        <v>5.9348036439999996</v>
      </c>
      <c r="AG155" t="s">
        <v>171</v>
      </c>
      <c r="AH155">
        <v>1</v>
      </c>
      <c r="AI155">
        <v>0</v>
      </c>
      <c r="AJ155">
        <v>0</v>
      </c>
      <c r="AK155">
        <v>0</v>
      </c>
      <c r="AL155" t="s">
        <v>155</v>
      </c>
      <c r="AM155" t="s">
        <v>275</v>
      </c>
      <c r="AN155">
        <v>-0.27910000000000001</v>
      </c>
      <c r="AO155">
        <v>0.99</v>
      </c>
      <c r="AP155">
        <v>100.3325</v>
      </c>
      <c r="AQ155">
        <v>0.04</v>
      </c>
      <c r="AR155">
        <v>8</v>
      </c>
      <c r="AS155">
        <v>359.48584740000001</v>
      </c>
    </row>
    <row r="156" spans="1:45" x14ac:dyDescent="0.2">
      <c r="A156" t="s">
        <v>326</v>
      </c>
      <c r="B156" t="s">
        <v>168</v>
      </c>
      <c r="C156" t="s">
        <v>169</v>
      </c>
      <c r="D156" t="s">
        <v>274</v>
      </c>
      <c r="E156">
        <v>29.846229999999998</v>
      </c>
      <c r="F156">
        <v>-93.698070000000001</v>
      </c>
      <c r="G156" t="s">
        <v>322</v>
      </c>
      <c r="H156" s="1">
        <v>44017</v>
      </c>
      <c r="I156">
        <v>10.10136986</v>
      </c>
      <c r="J156">
        <v>5.7</v>
      </c>
      <c r="K156">
        <v>4.0999999999999996</v>
      </c>
      <c r="L156" t="s">
        <v>68</v>
      </c>
      <c r="M156">
        <f t="shared" si="2"/>
        <v>1.6000000000000005</v>
      </c>
      <c r="N156">
        <v>6.04</v>
      </c>
      <c r="O156" t="s">
        <v>68</v>
      </c>
      <c r="P156">
        <v>0.83</v>
      </c>
      <c r="Q156" t="s">
        <v>68</v>
      </c>
      <c r="R156">
        <v>-0.3392752</v>
      </c>
      <c r="S156" t="s">
        <v>68</v>
      </c>
      <c r="T156" t="s">
        <v>68</v>
      </c>
      <c r="U156">
        <v>0.17068800000000001</v>
      </c>
      <c r="V156" t="s">
        <v>68</v>
      </c>
      <c r="W156" t="s">
        <v>68</v>
      </c>
      <c r="X156" t="s">
        <v>68</v>
      </c>
      <c r="Y156" t="s">
        <v>68</v>
      </c>
      <c r="Z156" t="s">
        <v>68</v>
      </c>
      <c r="AA156">
        <v>40.9</v>
      </c>
      <c r="AB156">
        <v>0.11799999999999999</v>
      </c>
      <c r="AC156">
        <v>25.2</v>
      </c>
      <c r="AD156">
        <v>1530</v>
      </c>
      <c r="AE156">
        <v>0.90555150299999998</v>
      </c>
      <c r="AF156">
        <v>1.0855402759999999</v>
      </c>
      <c r="AG156" t="s">
        <v>171</v>
      </c>
      <c r="AH156">
        <v>1</v>
      </c>
      <c r="AI156">
        <v>0</v>
      </c>
      <c r="AJ156">
        <v>0</v>
      </c>
      <c r="AK156">
        <v>0</v>
      </c>
      <c r="AL156" t="s">
        <v>155</v>
      </c>
      <c r="AM156" t="s">
        <v>275</v>
      </c>
      <c r="AN156">
        <v>-3.1600000000000003E-2</v>
      </c>
      <c r="AO156">
        <v>0.51</v>
      </c>
      <c r="AP156">
        <v>18.032499999999999</v>
      </c>
      <c r="AQ156">
        <v>0.98</v>
      </c>
      <c r="AR156" t="s">
        <v>68</v>
      </c>
      <c r="AS156">
        <v>570.64873420000004</v>
      </c>
    </row>
    <row r="157" spans="1:45" x14ac:dyDescent="0.2">
      <c r="A157" t="s">
        <v>327</v>
      </c>
      <c r="B157" t="s">
        <v>168</v>
      </c>
      <c r="C157" t="s">
        <v>169</v>
      </c>
      <c r="D157" t="s">
        <v>274</v>
      </c>
      <c r="E157">
        <v>29.875260000000001</v>
      </c>
      <c r="F157">
        <v>-93.698070000000001</v>
      </c>
      <c r="G157" t="s">
        <v>328</v>
      </c>
      <c r="H157" t="s">
        <v>318</v>
      </c>
      <c r="I157">
        <v>10.008219179999999</v>
      </c>
      <c r="J157">
        <v>10.3</v>
      </c>
      <c r="K157">
        <v>-1.5</v>
      </c>
      <c r="L157" t="s">
        <v>68</v>
      </c>
      <c r="M157">
        <f t="shared" si="2"/>
        <v>11.8</v>
      </c>
      <c r="N157">
        <v>6.04</v>
      </c>
      <c r="O157">
        <v>22.41</v>
      </c>
      <c r="P157">
        <v>0.83</v>
      </c>
      <c r="Q157">
        <v>0.83762320000000001</v>
      </c>
      <c r="R157">
        <v>-0.28288720000000001</v>
      </c>
      <c r="S157">
        <v>0.33528000000000002</v>
      </c>
      <c r="T157">
        <v>1.1205103999999999</v>
      </c>
      <c r="U157">
        <v>0.21945600000000001</v>
      </c>
      <c r="V157">
        <v>0.55168359</v>
      </c>
      <c r="W157">
        <v>-58.598281970000002</v>
      </c>
      <c r="X157">
        <v>-3.2184380319999999</v>
      </c>
      <c r="Y157">
        <v>25.16403803</v>
      </c>
      <c r="Z157">
        <v>23.91</v>
      </c>
      <c r="AA157">
        <v>84.61</v>
      </c>
      <c r="AB157">
        <v>6.5000000000000002E-2</v>
      </c>
      <c r="AC157">
        <v>25.2</v>
      </c>
      <c r="AD157">
        <v>1530</v>
      </c>
      <c r="AE157">
        <v>1.8484301430000001</v>
      </c>
      <c r="AF157">
        <v>2.298170657</v>
      </c>
      <c r="AG157" t="s">
        <v>171</v>
      </c>
      <c r="AH157">
        <v>1</v>
      </c>
      <c r="AI157">
        <v>0</v>
      </c>
      <c r="AJ157">
        <v>0</v>
      </c>
      <c r="AK157">
        <v>0</v>
      </c>
      <c r="AL157" t="s">
        <v>155</v>
      </c>
      <c r="AM157" t="s">
        <v>275</v>
      </c>
      <c r="AN157">
        <v>0.48409999999999997</v>
      </c>
      <c r="AO157">
        <v>0.63</v>
      </c>
      <c r="AP157">
        <v>93.295000000000002</v>
      </c>
      <c r="AQ157">
        <v>0.89</v>
      </c>
      <c r="AR157">
        <v>0</v>
      </c>
      <c r="AS157">
        <v>1000</v>
      </c>
    </row>
    <row r="158" spans="1:45" x14ac:dyDescent="0.2">
      <c r="A158" t="s">
        <v>329</v>
      </c>
      <c r="B158" t="s">
        <v>168</v>
      </c>
      <c r="C158" t="s">
        <v>169</v>
      </c>
      <c r="D158" t="s">
        <v>274</v>
      </c>
      <c r="E158">
        <v>29.92606</v>
      </c>
      <c r="F158">
        <v>-93.760580000000004</v>
      </c>
      <c r="G158" s="1">
        <v>39511</v>
      </c>
      <c r="H158" s="1">
        <v>44170</v>
      </c>
      <c r="I158">
        <v>12.10684932</v>
      </c>
      <c r="J158">
        <v>3.3</v>
      </c>
      <c r="K158">
        <v>4.2</v>
      </c>
      <c r="L158" t="s">
        <v>68</v>
      </c>
      <c r="M158">
        <f t="shared" si="2"/>
        <v>-0.90000000000000036</v>
      </c>
      <c r="N158">
        <v>6.04</v>
      </c>
      <c r="O158">
        <v>17.13</v>
      </c>
      <c r="P158">
        <v>0.83</v>
      </c>
      <c r="Q158">
        <v>0.71204559999999995</v>
      </c>
      <c r="R158">
        <v>-0.2578936</v>
      </c>
      <c r="S158">
        <v>0.24384</v>
      </c>
      <c r="T158">
        <v>0.9699392</v>
      </c>
      <c r="U158">
        <v>0.210312</v>
      </c>
      <c r="V158">
        <v>0.51728355800000003</v>
      </c>
      <c r="W158">
        <v>-51.815358500000002</v>
      </c>
      <c r="X158">
        <v>1.6419984969999999</v>
      </c>
      <c r="Y158">
        <v>19.389201499999999</v>
      </c>
      <c r="Z158">
        <v>12.93</v>
      </c>
      <c r="AA158">
        <v>38.14</v>
      </c>
      <c r="AB158">
        <v>0.1065</v>
      </c>
      <c r="AC158">
        <v>25.2</v>
      </c>
      <c r="AD158">
        <v>1530</v>
      </c>
      <c r="AE158">
        <v>14.2392542</v>
      </c>
      <c r="AF158">
        <v>3.4650398600000001</v>
      </c>
      <c r="AG158" t="s">
        <v>171</v>
      </c>
      <c r="AH158">
        <v>1</v>
      </c>
      <c r="AI158">
        <v>0</v>
      </c>
      <c r="AJ158">
        <v>0</v>
      </c>
      <c r="AK158">
        <v>0</v>
      </c>
      <c r="AL158" t="s">
        <v>155</v>
      </c>
      <c r="AM158" t="s">
        <v>275</v>
      </c>
      <c r="AN158">
        <v>-2.8279000000000001</v>
      </c>
      <c r="AO158">
        <v>0.88</v>
      </c>
      <c r="AP158">
        <v>183.63749999999999</v>
      </c>
      <c r="AQ158">
        <v>0.03</v>
      </c>
      <c r="AR158">
        <v>9</v>
      </c>
      <c r="AS158">
        <v>64.937763000000004</v>
      </c>
    </row>
    <row r="159" spans="1:45" x14ac:dyDescent="0.2">
      <c r="A159" t="s">
        <v>330</v>
      </c>
      <c r="B159" t="s">
        <v>168</v>
      </c>
      <c r="C159" t="s">
        <v>169</v>
      </c>
      <c r="D159" t="s">
        <v>274</v>
      </c>
      <c r="E159">
        <v>29.766390000000001</v>
      </c>
      <c r="F159">
        <v>-93.604320000000001</v>
      </c>
      <c r="G159" s="1">
        <v>40065</v>
      </c>
      <c r="H159" s="1">
        <v>44078</v>
      </c>
      <c r="I159">
        <v>10.58196721</v>
      </c>
      <c r="J159">
        <v>5.8</v>
      </c>
      <c r="K159">
        <v>5.8</v>
      </c>
      <c r="L159" t="s">
        <v>68</v>
      </c>
      <c r="M159">
        <f t="shared" si="2"/>
        <v>0</v>
      </c>
      <c r="N159">
        <v>6.55</v>
      </c>
      <c r="O159">
        <v>22.41</v>
      </c>
      <c r="P159">
        <v>0.83</v>
      </c>
      <c r="Q159">
        <v>0.72179919999999997</v>
      </c>
      <c r="R159">
        <v>-0.1609672</v>
      </c>
      <c r="S159">
        <v>0.26212800000000003</v>
      </c>
      <c r="T159">
        <v>0.88276639999999995</v>
      </c>
      <c r="U159">
        <v>0.29870400000000003</v>
      </c>
      <c r="V159">
        <v>0.47928330800000002</v>
      </c>
      <c r="W159">
        <v>-47.388890349999997</v>
      </c>
      <c r="X159">
        <v>5.0793703509999997</v>
      </c>
      <c r="Y159">
        <v>24.791029649999999</v>
      </c>
      <c r="Z159">
        <v>16.61</v>
      </c>
      <c r="AA159">
        <v>23.36</v>
      </c>
      <c r="AB159">
        <v>0.34499999999999997</v>
      </c>
      <c r="AC159">
        <v>25.2</v>
      </c>
      <c r="AD159">
        <v>1530</v>
      </c>
      <c r="AE159">
        <v>17.397576969999999</v>
      </c>
      <c r="AF159">
        <v>4.950967994</v>
      </c>
      <c r="AG159" t="s">
        <v>171</v>
      </c>
      <c r="AH159">
        <v>1</v>
      </c>
      <c r="AI159">
        <v>0</v>
      </c>
      <c r="AJ159">
        <v>0</v>
      </c>
      <c r="AK159">
        <v>0</v>
      </c>
      <c r="AL159" t="s">
        <v>155</v>
      </c>
      <c r="AM159" t="s">
        <v>275</v>
      </c>
      <c r="AN159">
        <v>1.0361</v>
      </c>
      <c r="AO159">
        <v>5.2999999999999999E-2</v>
      </c>
      <c r="AP159">
        <v>1172</v>
      </c>
      <c r="AQ159">
        <v>0.09</v>
      </c>
      <c r="AR159">
        <v>68</v>
      </c>
      <c r="AS159">
        <v>1000</v>
      </c>
    </row>
    <row r="160" spans="1:45" x14ac:dyDescent="0.2">
      <c r="A160" t="s">
        <v>331</v>
      </c>
      <c r="B160" t="s">
        <v>332</v>
      </c>
      <c r="C160" t="s">
        <v>169</v>
      </c>
      <c r="D160" t="s">
        <v>333</v>
      </c>
      <c r="E160">
        <v>38.396389999999997</v>
      </c>
      <c r="F160">
        <v>-76.070049999999995</v>
      </c>
      <c r="G160" t="s">
        <v>336</v>
      </c>
      <c r="H160" s="1">
        <v>43687</v>
      </c>
      <c r="I160">
        <v>14.24109589</v>
      </c>
      <c r="J160">
        <v>6.19</v>
      </c>
      <c r="K160">
        <v>5.6993785040000002</v>
      </c>
      <c r="L160">
        <v>0.71755481899999995</v>
      </c>
      <c r="M160">
        <f t="shared" si="2"/>
        <v>0.49062149600000016</v>
      </c>
      <c r="N160">
        <v>3.77</v>
      </c>
      <c r="O160">
        <v>6.05</v>
      </c>
      <c r="P160">
        <v>1.98</v>
      </c>
      <c r="Q160">
        <v>0.19700000000000001</v>
      </c>
      <c r="R160">
        <v>-7.0000000000000007E-2</v>
      </c>
      <c r="S160">
        <v>-7.0999999999999994E-2</v>
      </c>
      <c r="T160">
        <v>0.26700000000000002</v>
      </c>
      <c r="U160">
        <v>0.16875000000000001</v>
      </c>
      <c r="V160">
        <v>0.10580524299999999</v>
      </c>
      <c r="W160">
        <v>8.8186861830000005</v>
      </c>
      <c r="X160">
        <v>-11.64368618</v>
      </c>
      <c r="Y160">
        <v>28.51868618</v>
      </c>
      <c r="Z160">
        <v>0.35062149599999998</v>
      </c>
      <c r="AA160">
        <v>35.56</v>
      </c>
      <c r="AB160">
        <v>0.24363484999999999</v>
      </c>
      <c r="AC160">
        <v>18.22</v>
      </c>
      <c r="AD160">
        <v>1154</v>
      </c>
      <c r="AE160">
        <v>10.99181851</v>
      </c>
      <c r="AF160">
        <v>2.4204193090000001</v>
      </c>
      <c r="AG160" t="s">
        <v>334</v>
      </c>
      <c r="AH160">
        <v>0</v>
      </c>
      <c r="AI160">
        <v>0</v>
      </c>
      <c r="AJ160">
        <v>1</v>
      </c>
      <c r="AK160">
        <v>0</v>
      </c>
      <c r="AL160" t="s">
        <v>48</v>
      </c>
      <c r="AM160" t="s">
        <v>335</v>
      </c>
      <c r="AN160">
        <v>-5.3400000000000003E-2</v>
      </c>
      <c r="AO160">
        <v>0.03</v>
      </c>
      <c r="AP160">
        <v>15.557499999999999</v>
      </c>
      <c r="AQ160">
        <v>0.94</v>
      </c>
      <c r="AR160">
        <v>1000</v>
      </c>
      <c r="AS160">
        <v>291.33895130000002</v>
      </c>
    </row>
    <row r="161" spans="1:45" x14ac:dyDescent="0.2">
      <c r="A161" t="s">
        <v>337</v>
      </c>
      <c r="B161" t="s">
        <v>332</v>
      </c>
      <c r="C161" t="s">
        <v>169</v>
      </c>
      <c r="D161" t="s">
        <v>333</v>
      </c>
      <c r="E161">
        <v>38.396529999999998</v>
      </c>
      <c r="F161">
        <v>-76.069909999999993</v>
      </c>
      <c r="G161" t="s">
        <v>336</v>
      </c>
      <c r="H161" s="1">
        <v>43687</v>
      </c>
      <c r="I161">
        <v>14.24109589</v>
      </c>
      <c r="J161">
        <v>5.29</v>
      </c>
      <c r="K161">
        <v>5.3363139110000004</v>
      </c>
      <c r="L161">
        <v>0.73614406600000004</v>
      </c>
      <c r="M161">
        <f t="shared" si="2"/>
        <v>-4.6313911000000374E-2</v>
      </c>
      <c r="N161">
        <v>3.77</v>
      </c>
      <c r="O161">
        <v>6.05</v>
      </c>
      <c r="P161">
        <v>1.98</v>
      </c>
      <c r="Q161">
        <v>0.19700000000000001</v>
      </c>
      <c r="R161">
        <v>-7.0000000000000007E-2</v>
      </c>
      <c r="S161">
        <v>-7.0999999999999994E-2</v>
      </c>
      <c r="T161">
        <v>0.26700000000000002</v>
      </c>
      <c r="U161">
        <v>0.13550000000000001</v>
      </c>
      <c r="V161">
        <v>0.230337079</v>
      </c>
      <c r="W161">
        <v>8.8186861830000005</v>
      </c>
      <c r="X161">
        <v>-14.968686180000001</v>
      </c>
      <c r="Y161">
        <v>28.51868618</v>
      </c>
      <c r="Z161">
        <v>0.71368608899999997</v>
      </c>
      <c r="AA161">
        <v>35.56</v>
      </c>
      <c r="AB161">
        <v>0.15555460199999999</v>
      </c>
      <c r="AC161">
        <v>18.22</v>
      </c>
      <c r="AD161">
        <v>1154</v>
      </c>
      <c r="AE161">
        <v>10.99181851</v>
      </c>
      <c r="AF161">
        <v>2.4204193090000001</v>
      </c>
      <c r="AG161" t="s">
        <v>334</v>
      </c>
      <c r="AH161">
        <v>0</v>
      </c>
      <c r="AI161">
        <v>0</v>
      </c>
      <c r="AJ161">
        <v>1</v>
      </c>
      <c r="AK161">
        <v>0</v>
      </c>
      <c r="AL161" t="s">
        <v>48</v>
      </c>
      <c r="AM161" t="s">
        <v>335</v>
      </c>
      <c r="AN161">
        <v>-4.7500000000000001E-2</v>
      </c>
      <c r="AO161">
        <v>3.0000000000000001E-3</v>
      </c>
      <c r="AP161">
        <v>34.722499999999997</v>
      </c>
      <c r="AQ161">
        <v>0.94</v>
      </c>
      <c r="AR161">
        <v>1000</v>
      </c>
      <c r="AS161">
        <v>731</v>
      </c>
    </row>
    <row r="162" spans="1:45" x14ac:dyDescent="0.2">
      <c r="A162" t="s">
        <v>338</v>
      </c>
      <c r="B162" t="s">
        <v>332</v>
      </c>
      <c r="C162" t="s">
        <v>169</v>
      </c>
      <c r="D162" t="s">
        <v>339</v>
      </c>
      <c r="E162">
        <v>38.40748</v>
      </c>
      <c r="F162">
        <v>-76.067620000000005</v>
      </c>
      <c r="G162" t="s">
        <v>336</v>
      </c>
      <c r="H162" s="1">
        <v>43687</v>
      </c>
      <c r="I162">
        <v>14.24109589</v>
      </c>
      <c r="J162">
        <v>6.99</v>
      </c>
      <c r="K162">
        <v>3.8600864050000001</v>
      </c>
      <c r="L162">
        <v>0.78665314900000005</v>
      </c>
      <c r="M162">
        <f t="shared" si="2"/>
        <v>3.1299135950000001</v>
      </c>
      <c r="N162">
        <v>3.77</v>
      </c>
      <c r="O162">
        <v>6.05</v>
      </c>
      <c r="P162">
        <v>1.98</v>
      </c>
      <c r="Q162">
        <v>0.19700000000000001</v>
      </c>
      <c r="R162">
        <v>-7.0000000000000007E-2</v>
      </c>
      <c r="S162">
        <v>-7.0999999999999994E-2</v>
      </c>
      <c r="T162">
        <v>0.26700000000000002</v>
      </c>
      <c r="U162">
        <v>0.122</v>
      </c>
      <c r="V162">
        <v>0.28089887600000002</v>
      </c>
      <c r="W162">
        <v>8.8186861830000005</v>
      </c>
      <c r="X162">
        <v>-16.31868618</v>
      </c>
      <c r="Y162">
        <v>28.51868618</v>
      </c>
      <c r="Z162">
        <v>2.1899135950000002</v>
      </c>
      <c r="AA162">
        <v>49.85</v>
      </c>
      <c r="AB162">
        <v>0.18954747699999999</v>
      </c>
      <c r="AC162">
        <v>18.22</v>
      </c>
      <c r="AD162">
        <v>1154</v>
      </c>
      <c r="AE162">
        <v>10.99181851</v>
      </c>
      <c r="AF162">
        <v>2.4204193090000001</v>
      </c>
      <c r="AG162" t="s">
        <v>334</v>
      </c>
      <c r="AH162">
        <v>0</v>
      </c>
      <c r="AI162">
        <v>0</v>
      </c>
      <c r="AJ162">
        <v>1</v>
      </c>
      <c r="AK162">
        <v>0</v>
      </c>
      <c r="AL162" t="s">
        <v>48</v>
      </c>
      <c r="AM162" t="s">
        <v>335</v>
      </c>
      <c r="AN162">
        <v>-3.1699999999999999E-2</v>
      </c>
      <c r="AO162">
        <v>0.16</v>
      </c>
      <c r="AP162">
        <v>35.152500000000003</v>
      </c>
      <c r="AQ162">
        <v>0.94</v>
      </c>
      <c r="AR162">
        <v>1811</v>
      </c>
      <c r="AS162">
        <v>1108.911672</v>
      </c>
    </row>
    <row r="163" spans="1:45" x14ac:dyDescent="0.2">
      <c r="A163" t="s">
        <v>340</v>
      </c>
      <c r="B163" t="s">
        <v>332</v>
      </c>
      <c r="C163" t="s">
        <v>169</v>
      </c>
      <c r="D163" t="s">
        <v>339</v>
      </c>
      <c r="E163">
        <v>38.4071</v>
      </c>
      <c r="F163">
        <v>-76.067750000000004</v>
      </c>
      <c r="G163" t="s">
        <v>336</v>
      </c>
      <c r="H163" s="1">
        <v>43687</v>
      </c>
      <c r="I163">
        <v>14.24109589</v>
      </c>
      <c r="J163">
        <v>4.0599999999999996</v>
      </c>
      <c r="K163">
        <v>0.54951254599999999</v>
      </c>
      <c r="L163">
        <v>3.7167297000000002E-2</v>
      </c>
      <c r="M163">
        <f t="shared" si="2"/>
        <v>3.5104874539999997</v>
      </c>
      <c r="N163">
        <v>3.77</v>
      </c>
      <c r="O163">
        <v>6.05</v>
      </c>
      <c r="P163">
        <v>1.98</v>
      </c>
      <c r="Q163">
        <v>0.19700000000000001</v>
      </c>
      <c r="R163">
        <v>-7.0000000000000007E-2</v>
      </c>
      <c r="S163">
        <v>-7.0999999999999994E-2</v>
      </c>
      <c r="T163">
        <v>0.26700000000000002</v>
      </c>
      <c r="U163">
        <v>0.123</v>
      </c>
      <c r="V163">
        <v>0.27715355800000002</v>
      </c>
      <c r="W163">
        <v>8.8186861830000005</v>
      </c>
      <c r="X163">
        <v>-16.218686179999999</v>
      </c>
      <c r="Y163">
        <v>28.51868618</v>
      </c>
      <c r="Z163">
        <v>5.5004874539999999</v>
      </c>
      <c r="AA163">
        <v>49.85</v>
      </c>
      <c r="AB163">
        <v>0.118551858</v>
      </c>
      <c r="AC163">
        <v>18.22</v>
      </c>
      <c r="AD163">
        <v>1154</v>
      </c>
      <c r="AE163">
        <v>10.99181851</v>
      </c>
      <c r="AF163">
        <v>2.4204193090000001</v>
      </c>
      <c r="AG163" t="s">
        <v>341</v>
      </c>
      <c r="AH163">
        <v>1</v>
      </c>
      <c r="AI163">
        <v>0</v>
      </c>
      <c r="AJ163">
        <v>0</v>
      </c>
      <c r="AK163">
        <v>0</v>
      </c>
      <c r="AL163" t="s">
        <v>155</v>
      </c>
      <c r="AM163" t="s">
        <v>335</v>
      </c>
      <c r="AN163">
        <v>-0.42630000000000001</v>
      </c>
      <c r="AO163">
        <v>0.98</v>
      </c>
      <c r="AP163">
        <v>41.51</v>
      </c>
      <c r="AQ163">
        <v>0.94</v>
      </c>
      <c r="AR163">
        <v>0</v>
      </c>
      <c r="AS163">
        <v>97.372742200000005</v>
      </c>
    </row>
    <row r="164" spans="1:45" x14ac:dyDescent="0.2">
      <c r="A164" t="s">
        <v>342</v>
      </c>
      <c r="B164" t="s">
        <v>332</v>
      </c>
      <c r="C164" t="s">
        <v>169</v>
      </c>
      <c r="D164" t="s">
        <v>343</v>
      </c>
      <c r="E164">
        <v>38.371110000000002</v>
      </c>
      <c r="F164">
        <v>-75.971369999999993</v>
      </c>
      <c r="G164" t="s">
        <v>345</v>
      </c>
      <c r="H164" t="s">
        <v>346</v>
      </c>
      <c r="I164">
        <v>13.94520548</v>
      </c>
      <c r="J164">
        <v>4.2</v>
      </c>
      <c r="K164">
        <v>4.9476092620000003</v>
      </c>
      <c r="L164">
        <v>0.95647516700000001</v>
      </c>
      <c r="M164">
        <f t="shared" si="2"/>
        <v>-0.74760926200000011</v>
      </c>
      <c r="N164">
        <v>3.77</v>
      </c>
      <c r="O164">
        <v>6.05</v>
      </c>
      <c r="P164">
        <v>1.95</v>
      </c>
      <c r="Q164">
        <v>0.19700000000000001</v>
      </c>
      <c r="R164">
        <v>-7.0000000000000007E-2</v>
      </c>
      <c r="S164">
        <v>-7.0999999999999994E-2</v>
      </c>
      <c r="T164">
        <v>0.26700000000000002</v>
      </c>
      <c r="U164">
        <v>0.402333</v>
      </c>
      <c r="V164">
        <v>-0.76903745300000004</v>
      </c>
      <c r="W164">
        <v>8.8186861830000005</v>
      </c>
      <c r="X164">
        <v>11.71461382</v>
      </c>
      <c r="Y164">
        <v>28.51868618</v>
      </c>
      <c r="Z164">
        <v>1.102390738</v>
      </c>
      <c r="AA164">
        <v>64.22</v>
      </c>
      <c r="AB164">
        <v>0.19842811599999999</v>
      </c>
      <c r="AC164">
        <v>18.22</v>
      </c>
      <c r="AD164">
        <v>1154</v>
      </c>
      <c r="AE164">
        <v>10.99181851</v>
      </c>
      <c r="AF164">
        <v>2.4204193090000001</v>
      </c>
      <c r="AG164" t="s">
        <v>344</v>
      </c>
      <c r="AH164">
        <v>1</v>
      </c>
      <c r="AI164">
        <v>1</v>
      </c>
      <c r="AJ164">
        <v>1</v>
      </c>
      <c r="AK164">
        <v>0</v>
      </c>
      <c r="AL164" t="s">
        <v>155</v>
      </c>
      <c r="AM164" t="s">
        <v>335</v>
      </c>
      <c r="AN164">
        <v>-0.70099999999999996</v>
      </c>
      <c r="AO164">
        <v>0.97</v>
      </c>
      <c r="AP164">
        <v>97.522499999999994</v>
      </c>
      <c r="AQ164">
        <v>0.09</v>
      </c>
      <c r="AR164">
        <v>1000</v>
      </c>
      <c r="AS164">
        <v>139.11911549999999</v>
      </c>
    </row>
    <row r="165" spans="1:45" x14ac:dyDescent="0.2">
      <c r="A165" t="s">
        <v>347</v>
      </c>
      <c r="B165" t="s">
        <v>332</v>
      </c>
      <c r="C165" t="s">
        <v>169</v>
      </c>
      <c r="D165" t="s">
        <v>343</v>
      </c>
      <c r="E165">
        <v>38.37059</v>
      </c>
      <c r="F165">
        <v>-75.970820000000003</v>
      </c>
      <c r="G165" t="s">
        <v>345</v>
      </c>
      <c r="H165" t="s">
        <v>346</v>
      </c>
      <c r="I165">
        <v>13.94520548</v>
      </c>
      <c r="J165">
        <v>2.68</v>
      </c>
      <c r="K165">
        <v>3.7324104220000001</v>
      </c>
      <c r="L165">
        <v>0.90751805900000004</v>
      </c>
      <c r="M165">
        <f t="shared" si="2"/>
        <v>-1.0524104219999999</v>
      </c>
      <c r="N165">
        <v>3.77</v>
      </c>
      <c r="O165">
        <v>6.05</v>
      </c>
      <c r="P165">
        <v>1.95</v>
      </c>
      <c r="Q165">
        <v>0.19700000000000001</v>
      </c>
      <c r="R165">
        <v>-7.0000000000000007E-2</v>
      </c>
      <c r="S165">
        <v>-7.0999999999999994E-2</v>
      </c>
      <c r="T165">
        <v>0.26700000000000002</v>
      </c>
      <c r="U165">
        <v>0.41283300000000001</v>
      </c>
      <c r="V165">
        <v>-0.80836329600000001</v>
      </c>
      <c r="W165">
        <v>8.8186861830000005</v>
      </c>
      <c r="X165">
        <v>12.764613819999999</v>
      </c>
      <c r="Y165">
        <v>28.51868618</v>
      </c>
      <c r="Z165">
        <v>2.3175895780000002</v>
      </c>
      <c r="AA165">
        <v>64.22</v>
      </c>
      <c r="AB165">
        <v>0.120388931</v>
      </c>
      <c r="AC165">
        <v>18.22</v>
      </c>
      <c r="AD165">
        <v>1154</v>
      </c>
      <c r="AE165">
        <v>21.190782469999998</v>
      </c>
      <c r="AF165">
        <v>7.7517481940000001</v>
      </c>
      <c r="AG165" t="s">
        <v>348</v>
      </c>
      <c r="AH165">
        <v>1</v>
      </c>
      <c r="AI165">
        <v>1</v>
      </c>
      <c r="AJ165">
        <v>1</v>
      </c>
      <c r="AK165">
        <v>0</v>
      </c>
      <c r="AL165" t="s">
        <v>155</v>
      </c>
      <c r="AM165" t="s">
        <v>335</v>
      </c>
      <c r="AN165">
        <v>-0.47210000000000002</v>
      </c>
      <c r="AO165">
        <v>0.98</v>
      </c>
      <c r="AP165">
        <v>95.216666669999995</v>
      </c>
      <c r="AQ165">
        <v>0.09</v>
      </c>
      <c r="AR165">
        <v>3396</v>
      </c>
      <c r="AS165">
        <v>201.68749560000001</v>
      </c>
    </row>
    <row r="166" spans="1:45" x14ac:dyDescent="0.2">
      <c r="A166" t="s">
        <v>349</v>
      </c>
      <c r="B166" t="s">
        <v>332</v>
      </c>
      <c r="C166" t="s">
        <v>169</v>
      </c>
      <c r="D166" t="s">
        <v>350</v>
      </c>
      <c r="E166">
        <v>38.378050000000002</v>
      </c>
      <c r="F166">
        <v>-76.008610000000004</v>
      </c>
      <c r="G166" t="s">
        <v>345</v>
      </c>
      <c r="H166" t="s">
        <v>346</v>
      </c>
      <c r="I166">
        <v>13.94520548</v>
      </c>
      <c r="J166">
        <v>4.6500000000000004</v>
      </c>
      <c r="K166">
        <v>2.7126396370000001</v>
      </c>
      <c r="L166">
        <v>0.80363818399999998</v>
      </c>
      <c r="M166">
        <f t="shared" si="2"/>
        <v>1.9373603630000003</v>
      </c>
      <c r="N166">
        <v>3.77</v>
      </c>
      <c r="O166">
        <v>6.05</v>
      </c>
      <c r="P166">
        <v>1.95</v>
      </c>
      <c r="Q166">
        <v>0.19700000000000001</v>
      </c>
      <c r="R166">
        <v>-7.0000000000000007E-2</v>
      </c>
      <c r="S166">
        <v>-7.0999999999999994E-2</v>
      </c>
      <c r="T166">
        <v>0.26700000000000002</v>
      </c>
      <c r="U166">
        <v>0.48699999999999999</v>
      </c>
      <c r="V166">
        <v>-1.0861423219999999</v>
      </c>
      <c r="W166">
        <v>8.8186861830000005</v>
      </c>
      <c r="X166">
        <v>20.18131382</v>
      </c>
      <c r="Y166">
        <v>28.51868618</v>
      </c>
      <c r="Z166">
        <v>3.3373603630000002</v>
      </c>
      <c r="AA166">
        <v>54.81</v>
      </c>
      <c r="AB166">
        <v>0.16651603000000001</v>
      </c>
      <c r="AC166">
        <v>18.22</v>
      </c>
      <c r="AD166">
        <v>1154</v>
      </c>
      <c r="AE166">
        <v>1.7189631460000001</v>
      </c>
      <c r="AF166">
        <v>0.459906343</v>
      </c>
      <c r="AG166" t="s">
        <v>351</v>
      </c>
      <c r="AH166">
        <v>1</v>
      </c>
      <c r="AI166">
        <v>0</v>
      </c>
      <c r="AJ166">
        <v>1</v>
      </c>
      <c r="AK166">
        <v>0</v>
      </c>
      <c r="AL166" t="s">
        <v>155</v>
      </c>
      <c r="AM166" t="s">
        <v>335</v>
      </c>
      <c r="AN166">
        <v>-0.19700000000000001</v>
      </c>
      <c r="AO166">
        <v>0.88</v>
      </c>
      <c r="AP166">
        <v>81.23</v>
      </c>
      <c r="AQ166">
        <v>0.09</v>
      </c>
      <c r="AR166">
        <v>191</v>
      </c>
      <c r="AS166">
        <v>412.33502540000001</v>
      </c>
    </row>
    <row r="167" spans="1:45" x14ac:dyDescent="0.2">
      <c r="A167" t="s">
        <v>352</v>
      </c>
      <c r="B167" t="s">
        <v>332</v>
      </c>
      <c r="C167" t="s">
        <v>169</v>
      </c>
      <c r="D167" t="s">
        <v>350</v>
      </c>
      <c r="E167">
        <v>38.377490000000002</v>
      </c>
      <c r="F167">
        <v>-76.008330000000001</v>
      </c>
      <c r="G167" t="s">
        <v>345</v>
      </c>
      <c r="H167" t="s">
        <v>346</v>
      </c>
      <c r="I167">
        <v>13.94520548</v>
      </c>
      <c r="J167">
        <v>5.68</v>
      </c>
      <c r="K167">
        <v>-7.9300738830000004</v>
      </c>
      <c r="L167">
        <v>0.93927368</v>
      </c>
      <c r="M167">
        <f t="shared" si="2"/>
        <v>13.610073883</v>
      </c>
      <c r="N167">
        <v>3.77</v>
      </c>
      <c r="O167">
        <v>6.05</v>
      </c>
      <c r="P167">
        <v>1.95</v>
      </c>
      <c r="Q167">
        <v>0.19700000000000001</v>
      </c>
      <c r="R167">
        <v>-7.0000000000000007E-2</v>
      </c>
      <c r="S167">
        <v>-7.0999999999999994E-2</v>
      </c>
      <c r="T167">
        <v>0.26700000000000002</v>
      </c>
      <c r="U167">
        <v>0.46100000000000002</v>
      </c>
      <c r="V167">
        <v>-0.98876404500000004</v>
      </c>
      <c r="W167">
        <v>8.8186861830000005</v>
      </c>
      <c r="X167">
        <v>17.581313819999998</v>
      </c>
      <c r="Y167">
        <v>28.51868618</v>
      </c>
      <c r="Z167">
        <v>13.980073880000001</v>
      </c>
      <c r="AA167">
        <v>54.81</v>
      </c>
      <c r="AB167">
        <v>0.171294223</v>
      </c>
      <c r="AC167">
        <v>18.22</v>
      </c>
      <c r="AD167">
        <v>1154</v>
      </c>
      <c r="AE167">
        <v>1.7189631460000001</v>
      </c>
      <c r="AF167">
        <v>0.459906343</v>
      </c>
      <c r="AG167" t="s">
        <v>344</v>
      </c>
      <c r="AH167">
        <v>1</v>
      </c>
      <c r="AI167">
        <v>1</v>
      </c>
      <c r="AJ167">
        <v>1</v>
      </c>
      <c r="AK167">
        <v>0</v>
      </c>
      <c r="AL167" t="s">
        <v>155</v>
      </c>
      <c r="AM167" t="s">
        <v>335</v>
      </c>
      <c r="AN167">
        <v>-0.30580000000000002</v>
      </c>
      <c r="AO167">
        <v>0.99</v>
      </c>
      <c r="AP167">
        <v>84.4</v>
      </c>
      <c r="AQ167">
        <v>0.09</v>
      </c>
      <c r="AR167">
        <v>15</v>
      </c>
      <c r="AS167">
        <v>275.99738389999999</v>
      </c>
    </row>
    <row r="168" spans="1:45" x14ac:dyDescent="0.2">
      <c r="A168" t="s">
        <v>353</v>
      </c>
      <c r="B168" t="s">
        <v>332</v>
      </c>
      <c r="C168" t="s">
        <v>169</v>
      </c>
      <c r="D168" t="s">
        <v>354</v>
      </c>
      <c r="E168">
        <v>38.87979</v>
      </c>
      <c r="F168">
        <v>-76.551320000000004</v>
      </c>
      <c r="G168" t="s">
        <v>355</v>
      </c>
      <c r="H168" s="1">
        <v>43984</v>
      </c>
      <c r="I168">
        <v>14.536986300000001</v>
      </c>
      <c r="J168">
        <v>3.15</v>
      </c>
      <c r="K168">
        <v>3.1022826380000001</v>
      </c>
      <c r="L168">
        <v>0.85995870399999996</v>
      </c>
      <c r="M168">
        <f t="shared" si="2"/>
        <v>4.7717361999999763E-2</v>
      </c>
      <c r="N168">
        <v>3.77</v>
      </c>
      <c r="O168">
        <v>6.05</v>
      </c>
      <c r="P168">
        <v>1.95</v>
      </c>
      <c r="Q168">
        <v>0.19700000000000001</v>
      </c>
      <c r="R168">
        <v>-7.0000000000000007E-2</v>
      </c>
      <c r="S168">
        <v>-7.0999999999999994E-2</v>
      </c>
      <c r="T168">
        <v>0.26700000000000002</v>
      </c>
      <c r="U168">
        <v>0.34412500000000001</v>
      </c>
      <c r="V168">
        <v>-0.55102996299999996</v>
      </c>
      <c r="W168">
        <v>8.8186861830000005</v>
      </c>
      <c r="X168">
        <v>5.8938138169999998</v>
      </c>
      <c r="Y168">
        <v>28.51868618</v>
      </c>
      <c r="Z168">
        <v>2.9477173620000001</v>
      </c>
      <c r="AA168">
        <v>92.82</v>
      </c>
      <c r="AB168">
        <v>0.101308578</v>
      </c>
      <c r="AC168">
        <v>18.22</v>
      </c>
      <c r="AD168">
        <v>1154</v>
      </c>
      <c r="AE168">
        <v>1.7821802309999999</v>
      </c>
      <c r="AF168">
        <v>1.6124879940000001</v>
      </c>
      <c r="AG168" t="s">
        <v>348</v>
      </c>
      <c r="AH168">
        <v>1</v>
      </c>
      <c r="AI168">
        <v>1</v>
      </c>
      <c r="AJ168">
        <v>1</v>
      </c>
      <c r="AK168">
        <v>0</v>
      </c>
      <c r="AL168" t="s">
        <v>155</v>
      </c>
      <c r="AM168" t="s">
        <v>335</v>
      </c>
      <c r="AN168">
        <v>0.1157</v>
      </c>
      <c r="AO168">
        <v>0.48</v>
      </c>
      <c r="AP168">
        <v>92.173333330000006</v>
      </c>
      <c r="AQ168">
        <v>1E-3</v>
      </c>
      <c r="AR168">
        <v>88</v>
      </c>
      <c r="AS168">
        <v>1000</v>
      </c>
    </row>
    <row r="169" spans="1:45" x14ac:dyDescent="0.2">
      <c r="A169" t="s">
        <v>356</v>
      </c>
      <c r="B169" t="s">
        <v>332</v>
      </c>
      <c r="C169" t="s">
        <v>169</v>
      </c>
      <c r="D169" t="s">
        <v>354</v>
      </c>
      <c r="E169">
        <v>38.879739999999998</v>
      </c>
      <c r="F169">
        <v>-76.551680000000005</v>
      </c>
      <c r="G169" t="s">
        <v>355</v>
      </c>
      <c r="H169" s="1">
        <v>43984</v>
      </c>
      <c r="I169">
        <v>14.536986300000001</v>
      </c>
      <c r="J169">
        <v>3.14</v>
      </c>
      <c r="K169">
        <v>2.8104469189999999</v>
      </c>
      <c r="L169">
        <v>0.84804073700000004</v>
      </c>
      <c r="M169">
        <f t="shared" si="2"/>
        <v>0.32955308100000025</v>
      </c>
      <c r="N169">
        <v>3.77</v>
      </c>
      <c r="O169">
        <v>6.05</v>
      </c>
      <c r="P169">
        <v>1.95</v>
      </c>
      <c r="Q169">
        <v>0.19700000000000001</v>
      </c>
      <c r="R169">
        <v>-7.0000000000000007E-2</v>
      </c>
      <c r="S169">
        <v>-7.0999999999999994E-2</v>
      </c>
      <c r="T169">
        <v>0.26700000000000002</v>
      </c>
      <c r="U169">
        <v>0.33700000000000002</v>
      </c>
      <c r="V169">
        <v>-0.52434456900000004</v>
      </c>
      <c r="W169">
        <v>8.8186861830000005</v>
      </c>
      <c r="X169">
        <v>5.1813138170000004</v>
      </c>
      <c r="Y169">
        <v>28.51868618</v>
      </c>
      <c r="Z169">
        <v>3.2395530809999999</v>
      </c>
      <c r="AA169">
        <v>92.82</v>
      </c>
      <c r="AB169">
        <v>0.11144749700000001</v>
      </c>
      <c r="AC169">
        <v>18.22</v>
      </c>
      <c r="AD169">
        <v>1154</v>
      </c>
      <c r="AE169">
        <v>1.7821802309999999</v>
      </c>
      <c r="AF169">
        <v>1.6124879940000001</v>
      </c>
      <c r="AG169" t="s">
        <v>357</v>
      </c>
      <c r="AH169">
        <v>1</v>
      </c>
      <c r="AI169">
        <v>1</v>
      </c>
      <c r="AJ169">
        <v>1</v>
      </c>
      <c r="AK169">
        <v>0</v>
      </c>
      <c r="AL169" t="s">
        <v>155</v>
      </c>
      <c r="AM169" t="s">
        <v>335</v>
      </c>
      <c r="AN169">
        <v>0.1226</v>
      </c>
      <c r="AO169">
        <v>0.94</v>
      </c>
      <c r="AP169">
        <v>151.19499999999999</v>
      </c>
      <c r="AQ169">
        <v>1E-3</v>
      </c>
      <c r="AR169">
        <v>54</v>
      </c>
      <c r="AS169">
        <v>1000</v>
      </c>
    </row>
    <row r="170" spans="1:45" x14ac:dyDescent="0.2">
      <c r="A170" t="s">
        <v>358</v>
      </c>
      <c r="B170" t="s">
        <v>332</v>
      </c>
      <c r="C170" t="s">
        <v>169</v>
      </c>
      <c r="D170" t="s">
        <v>359</v>
      </c>
      <c r="E170">
        <v>39.033999999999999</v>
      </c>
      <c r="F170">
        <v>-76.214550000000003</v>
      </c>
      <c r="G170" s="1">
        <v>38575</v>
      </c>
      <c r="H170" s="1">
        <v>43656</v>
      </c>
      <c r="I170">
        <v>13.92054795</v>
      </c>
      <c r="J170">
        <v>2.69</v>
      </c>
      <c r="K170">
        <v>1.3067946070000001</v>
      </c>
      <c r="L170">
        <v>0.65278843600000003</v>
      </c>
      <c r="M170">
        <f t="shared" si="2"/>
        <v>1.3832053929999999</v>
      </c>
      <c r="N170">
        <v>3.77</v>
      </c>
      <c r="O170">
        <v>6.05</v>
      </c>
      <c r="P170">
        <v>1.95</v>
      </c>
      <c r="Q170">
        <v>0.19700000000000001</v>
      </c>
      <c r="R170">
        <v>-7.0000000000000007E-2</v>
      </c>
      <c r="S170">
        <v>-7.0999999999999994E-2</v>
      </c>
      <c r="T170">
        <v>0.26700000000000002</v>
      </c>
      <c r="U170">
        <v>0.30816666700000001</v>
      </c>
      <c r="V170">
        <v>-0.41635455799999999</v>
      </c>
      <c r="W170">
        <v>8.8186861830000005</v>
      </c>
      <c r="X170">
        <v>2.2979805170000001</v>
      </c>
      <c r="Y170">
        <v>28.51868618</v>
      </c>
      <c r="Z170">
        <v>4.7432053930000002</v>
      </c>
      <c r="AA170">
        <v>61.89</v>
      </c>
      <c r="AB170">
        <v>0.14896469500000001</v>
      </c>
      <c r="AC170">
        <v>18.22</v>
      </c>
      <c r="AD170">
        <v>1154</v>
      </c>
      <c r="AE170">
        <v>9.2328554589999996</v>
      </c>
      <c r="AF170">
        <v>3.25513765</v>
      </c>
      <c r="AG170" t="s">
        <v>360</v>
      </c>
      <c r="AH170">
        <v>1</v>
      </c>
      <c r="AI170">
        <v>0</v>
      </c>
      <c r="AJ170">
        <v>1</v>
      </c>
      <c r="AK170">
        <v>0</v>
      </c>
      <c r="AL170" t="s">
        <v>155</v>
      </c>
      <c r="AM170" t="s">
        <v>335</v>
      </c>
      <c r="AN170">
        <v>-0.2268</v>
      </c>
      <c r="AO170">
        <v>0.69</v>
      </c>
      <c r="AP170">
        <v>32.47</v>
      </c>
      <c r="AQ170">
        <v>0.15</v>
      </c>
      <c r="AR170">
        <v>9</v>
      </c>
      <c r="AS170">
        <v>143.16578480000001</v>
      </c>
    </row>
    <row r="171" spans="1:45" x14ac:dyDescent="0.2">
      <c r="A171" t="s">
        <v>361</v>
      </c>
      <c r="B171" t="s">
        <v>332</v>
      </c>
      <c r="C171" t="s">
        <v>169</v>
      </c>
      <c r="D171" t="s">
        <v>359</v>
      </c>
      <c r="E171">
        <v>39.034399999999998</v>
      </c>
      <c r="F171">
        <v>-76.214569999999995</v>
      </c>
      <c r="G171" s="1">
        <v>38575</v>
      </c>
      <c r="H171" s="1">
        <v>43656</v>
      </c>
      <c r="I171">
        <v>13.92054795</v>
      </c>
      <c r="J171">
        <v>2.04</v>
      </c>
      <c r="K171">
        <v>2.069387125</v>
      </c>
      <c r="L171">
        <v>0.88923884200000003</v>
      </c>
      <c r="M171">
        <f t="shared" si="2"/>
        <v>-2.9387124999999958E-2</v>
      </c>
      <c r="N171">
        <v>3.77</v>
      </c>
      <c r="O171">
        <v>6.05</v>
      </c>
      <c r="P171">
        <v>1.95</v>
      </c>
      <c r="Q171">
        <v>0.19700000000000001</v>
      </c>
      <c r="R171">
        <v>-7.0000000000000007E-2</v>
      </c>
      <c r="S171">
        <v>-7.0999999999999994E-2</v>
      </c>
      <c r="T171">
        <v>0.26700000000000002</v>
      </c>
      <c r="U171">
        <v>0.3175</v>
      </c>
      <c r="V171">
        <v>-0.45131086100000001</v>
      </c>
      <c r="W171">
        <v>8.8186861830000005</v>
      </c>
      <c r="X171">
        <v>3.2313138170000002</v>
      </c>
      <c r="Y171">
        <v>28.51868618</v>
      </c>
      <c r="Z171">
        <v>3.9806128749999998</v>
      </c>
      <c r="AA171">
        <v>66.67</v>
      </c>
      <c r="AB171">
        <v>0.13941114600000001</v>
      </c>
      <c r="AC171">
        <v>18.22</v>
      </c>
      <c r="AD171">
        <v>1154</v>
      </c>
      <c r="AE171">
        <v>9.2328554589999996</v>
      </c>
      <c r="AF171">
        <v>3.25513765</v>
      </c>
      <c r="AG171" t="s">
        <v>362</v>
      </c>
      <c r="AH171">
        <v>0</v>
      </c>
      <c r="AI171">
        <v>0</v>
      </c>
      <c r="AJ171">
        <v>1</v>
      </c>
      <c r="AK171">
        <v>0</v>
      </c>
      <c r="AL171" t="s">
        <v>48</v>
      </c>
      <c r="AM171" t="s">
        <v>335</v>
      </c>
      <c r="AN171">
        <v>-0.76300000000000001</v>
      </c>
      <c r="AO171">
        <v>0.81</v>
      </c>
      <c r="AP171">
        <v>97.762500000000003</v>
      </c>
      <c r="AQ171">
        <v>0.15</v>
      </c>
      <c r="AR171">
        <v>19</v>
      </c>
      <c r="AS171">
        <v>128.12909569999999</v>
      </c>
    </row>
    <row r="172" spans="1:45" x14ac:dyDescent="0.2">
      <c r="A172" t="s">
        <v>363</v>
      </c>
      <c r="B172" t="s">
        <v>332</v>
      </c>
      <c r="C172" t="s">
        <v>169</v>
      </c>
      <c r="D172" t="s">
        <v>364</v>
      </c>
      <c r="E172">
        <v>37.905810000000002</v>
      </c>
      <c r="F172">
        <v>-75.687209999999993</v>
      </c>
      <c r="G172" t="s">
        <v>366</v>
      </c>
      <c r="H172" s="1">
        <v>43718</v>
      </c>
      <c r="I172">
        <v>13.55616438</v>
      </c>
      <c r="J172">
        <v>4.01</v>
      </c>
      <c r="K172">
        <v>3.5571549830000002</v>
      </c>
      <c r="L172">
        <v>0.96136288199999997</v>
      </c>
      <c r="M172">
        <f t="shared" si="2"/>
        <v>0.45284501699999957</v>
      </c>
      <c r="N172">
        <v>3.77</v>
      </c>
      <c r="O172">
        <v>6.46</v>
      </c>
      <c r="P172">
        <v>1.95</v>
      </c>
      <c r="Q172">
        <v>0.19700000000000001</v>
      </c>
      <c r="R172">
        <v>-7.0000000000000007E-2</v>
      </c>
      <c r="S172">
        <v>-7.0999999999999994E-2</v>
      </c>
      <c r="T172">
        <v>0.26700000000000002</v>
      </c>
      <c r="U172">
        <v>0.45224999999999999</v>
      </c>
      <c r="V172">
        <v>-0.95599250899999999</v>
      </c>
      <c r="W172">
        <v>8.8186861830000005</v>
      </c>
      <c r="X172">
        <v>16.706313819999998</v>
      </c>
      <c r="Y172">
        <v>28.51868618</v>
      </c>
      <c r="Z172">
        <v>2.9028450170000002</v>
      </c>
      <c r="AA172">
        <v>53.77</v>
      </c>
      <c r="AB172">
        <v>0.165027697</v>
      </c>
      <c r="AC172">
        <v>18.22</v>
      </c>
      <c r="AD172">
        <v>1154</v>
      </c>
      <c r="AE172">
        <v>10.046194870000001</v>
      </c>
      <c r="AF172">
        <v>3.3722428309999999</v>
      </c>
      <c r="AG172" t="s">
        <v>365</v>
      </c>
      <c r="AH172">
        <v>1</v>
      </c>
      <c r="AI172">
        <v>1</v>
      </c>
      <c r="AJ172">
        <v>0</v>
      </c>
      <c r="AK172">
        <v>0</v>
      </c>
      <c r="AL172" t="s">
        <v>155</v>
      </c>
      <c r="AM172" t="s">
        <v>335</v>
      </c>
      <c r="AN172">
        <v>-8.2000000000000003E-2</v>
      </c>
      <c r="AO172">
        <v>0.39</v>
      </c>
      <c r="AP172">
        <v>121.44750000000001</v>
      </c>
      <c r="AQ172">
        <v>7.0000000000000007E-2</v>
      </c>
      <c r="AR172">
        <v>785</v>
      </c>
      <c r="AS172">
        <v>1481.0670729999999</v>
      </c>
    </row>
    <row r="173" spans="1:45" x14ac:dyDescent="0.2">
      <c r="A173" t="s">
        <v>367</v>
      </c>
      <c r="B173" t="s">
        <v>332</v>
      </c>
      <c r="C173" t="s">
        <v>169</v>
      </c>
      <c r="D173" t="s">
        <v>364</v>
      </c>
      <c r="E173">
        <v>37.906230000000001</v>
      </c>
      <c r="F173">
        <v>-75.686130000000006</v>
      </c>
      <c r="G173" t="s">
        <v>366</v>
      </c>
      <c r="H173" s="1">
        <v>43718</v>
      </c>
      <c r="I173">
        <v>13.55616438</v>
      </c>
      <c r="J173">
        <v>4.37</v>
      </c>
      <c r="K173">
        <v>2.4991664999999998</v>
      </c>
      <c r="L173">
        <v>0.95784479499999997</v>
      </c>
      <c r="M173">
        <f t="shared" si="2"/>
        <v>1.8708335000000003</v>
      </c>
      <c r="N173">
        <v>3.77</v>
      </c>
      <c r="O173">
        <v>6.46</v>
      </c>
      <c r="P173">
        <v>1.95</v>
      </c>
      <c r="Q173">
        <v>0.19700000000000001</v>
      </c>
      <c r="R173">
        <v>-7.0000000000000007E-2</v>
      </c>
      <c r="S173">
        <v>-7.0999999999999994E-2</v>
      </c>
      <c r="T173">
        <v>0.26700000000000002</v>
      </c>
      <c r="U173">
        <v>0.37824999999999998</v>
      </c>
      <c r="V173">
        <v>-0.67883895100000002</v>
      </c>
      <c r="W173">
        <v>8.8186861830000005</v>
      </c>
      <c r="X173">
        <v>9.3063138169999995</v>
      </c>
      <c r="Y173">
        <v>28.51868618</v>
      </c>
      <c r="Z173">
        <v>3.9608335000000001</v>
      </c>
      <c r="AA173">
        <v>53.77</v>
      </c>
      <c r="AB173">
        <v>0.156616637</v>
      </c>
      <c r="AC173">
        <v>18.22</v>
      </c>
      <c r="AD173">
        <v>1154</v>
      </c>
      <c r="AE173">
        <v>10.046194870000001</v>
      </c>
      <c r="AF173">
        <v>3.3722428309999999</v>
      </c>
      <c r="AG173" t="s">
        <v>368</v>
      </c>
      <c r="AH173">
        <v>1</v>
      </c>
      <c r="AI173">
        <v>1</v>
      </c>
      <c r="AJ173">
        <v>0</v>
      </c>
      <c r="AK173">
        <v>0</v>
      </c>
      <c r="AL173" t="s">
        <v>155</v>
      </c>
      <c r="AM173" t="s">
        <v>335</v>
      </c>
      <c r="AN173">
        <v>-0.2898</v>
      </c>
      <c r="AO173">
        <v>2.5000000000000001E-2</v>
      </c>
      <c r="AP173">
        <v>186.97749999999999</v>
      </c>
      <c r="AQ173">
        <v>7.0000000000000007E-2</v>
      </c>
      <c r="AR173">
        <v>73</v>
      </c>
      <c r="AS173">
        <v>645.19496200000003</v>
      </c>
    </row>
    <row r="174" spans="1:45" x14ac:dyDescent="0.2">
      <c r="A174" t="s">
        <v>369</v>
      </c>
      <c r="B174" t="s">
        <v>332</v>
      </c>
      <c r="C174" t="s">
        <v>169</v>
      </c>
      <c r="D174" t="s">
        <v>370</v>
      </c>
      <c r="E174">
        <v>39.259689999999999</v>
      </c>
      <c r="F174">
        <v>-75.428210000000007</v>
      </c>
      <c r="G174" s="1">
        <v>38633</v>
      </c>
      <c r="H174" s="1">
        <v>43713</v>
      </c>
      <c r="I174">
        <v>13.75342466</v>
      </c>
      <c r="J174">
        <v>8.7799999999999994</v>
      </c>
      <c r="K174">
        <v>5.9595132079999997</v>
      </c>
      <c r="L174">
        <v>0.98065601800000002</v>
      </c>
      <c r="M174">
        <f t="shared" si="2"/>
        <v>2.8204867919999996</v>
      </c>
      <c r="N174">
        <v>4.63</v>
      </c>
      <c r="O174">
        <v>4.28</v>
      </c>
      <c r="P174">
        <v>0.82</v>
      </c>
      <c r="Q174">
        <v>0.86</v>
      </c>
      <c r="R174">
        <v>-0.93</v>
      </c>
      <c r="S174">
        <v>-0.04</v>
      </c>
      <c r="T174">
        <v>1.79</v>
      </c>
      <c r="U174">
        <v>0.91391624999999999</v>
      </c>
      <c r="V174">
        <v>-3.0120810000000001E-2</v>
      </c>
      <c r="W174">
        <v>-80.616283539999998</v>
      </c>
      <c r="X174">
        <v>86.007908540000003</v>
      </c>
      <c r="Y174">
        <v>5.3837164570000002</v>
      </c>
      <c r="Z174">
        <v>-1.6795132079999999</v>
      </c>
      <c r="AA174">
        <v>27.45</v>
      </c>
      <c r="AB174">
        <v>0.32033270400000002</v>
      </c>
      <c r="AC174">
        <v>19.05</v>
      </c>
      <c r="AD174">
        <v>1169.5999999999999</v>
      </c>
      <c r="AE174">
        <v>26.723495960000001</v>
      </c>
      <c r="AF174">
        <v>7.1010084889999998</v>
      </c>
      <c r="AG174" t="s">
        <v>371</v>
      </c>
      <c r="AH174">
        <v>1</v>
      </c>
      <c r="AI174">
        <v>1</v>
      </c>
      <c r="AJ174">
        <v>1</v>
      </c>
      <c r="AK174">
        <v>0</v>
      </c>
      <c r="AL174" t="s">
        <v>155</v>
      </c>
      <c r="AM174" t="s">
        <v>335</v>
      </c>
      <c r="AN174">
        <v>-0.28399999999999997</v>
      </c>
      <c r="AO174">
        <v>0.98</v>
      </c>
      <c r="AP174">
        <v>34.467500000000001</v>
      </c>
      <c r="AQ174">
        <v>0.16</v>
      </c>
      <c r="AR174">
        <v>1000</v>
      </c>
      <c r="AS174">
        <v>121.3644366</v>
      </c>
    </row>
    <row r="175" spans="1:45" x14ac:dyDescent="0.2">
      <c r="A175" t="s">
        <v>372</v>
      </c>
      <c r="B175" t="s">
        <v>332</v>
      </c>
      <c r="C175" t="s">
        <v>169</v>
      </c>
      <c r="D175" t="s">
        <v>370</v>
      </c>
      <c r="E175">
        <v>39.259169999999997</v>
      </c>
      <c r="F175">
        <v>-75.427589999999995</v>
      </c>
      <c r="G175" s="1">
        <v>38633</v>
      </c>
      <c r="H175" s="1">
        <v>43713</v>
      </c>
      <c r="I175">
        <v>13.75342466</v>
      </c>
      <c r="J175">
        <v>5.42</v>
      </c>
      <c r="K175">
        <v>3.2882505989999999</v>
      </c>
      <c r="L175">
        <v>0.88982488100000001</v>
      </c>
      <c r="M175">
        <f t="shared" si="2"/>
        <v>2.131749401</v>
      </c>
      <c r="N175">
        <v>4.63</v>
      </c>
      <c r="O175">
        <v>4.28</v>
      </c>
      <c r="P175">
        <v>0.82</v>
      </c>
      <c r="Q175">
        <v>0.86</v>
      </c>
      <c r="R175">
        <v>-0.93</v>
      </c>
      <c r="S175">
        <v>-0.04</v>
      </c>
      <c r="T175">
        <v>1.79</v>
      </c>
      <c r="U175">
        <v>0.82388499999999998</v>
      </c>
      <c r="V175">
        <v>2.0175978000000001E-2</v>
      </c>
      <c r="W175">
        <v>-80.616283539999998</v>
      </c>
      <c r="X175">
        <v>77.004783540000005</v>
      </c>
      <c r="Y175">
        <v>5.3837164570000002</v>
      </c>
      <c r="Z175">
        <v>0.99174940099999997</v>
      </c>
      <c r="AA175">
        <v>27.45</v>
      </c>
      <c r="AB175">
        <v>0.24345456200000001</v>
      </c>
      <c r="AC175">
        <v>19.05</v>
      </c>
      <c r="AD175">
        <v>1169.5999999999999</v>
      </c>
      <c r="AE175">
        <v>21.381546499999999</v>
      </c>
      <c r="AF175">
        <v>8.6876377040000001</v>
      </c>
      <c r="AG175" t="s">
        <v>373</v>
      </c>
      <c r="AH175">
        <v>1</v>
      </c>
      <c r="AI175">
        <v>1</v>
      </c>
      <c r="AJ175">
        <v>1</v>
      </c>
      <c r="AK175">
        <v>0</v>
      </c>
      <c r="AL175" t="s">
        <v>155</v>
      </c>
      <c r="AM175" t="s">
        <v>335</v>
      </c>
      <c r="AN175">
        <v>-0.27639999999999998</v>
      </c>
      <c r="AO175">
        <v>0.92</v>
      </c>
      <c r="AP175">
        <v>69.875</v>
      </c>
      <c r="AQ175">
        <v>0.16</v>
      </c>
      <c r="AR175">
        <v>574</v>
      </c>
      <c r="AS175">
        <v>252.80390740000001</v>
      </c>
    </row>
    <row r="176" spans="1:45" x14ac:dyDescent="0.2">
      <c r="A176" t="s">
        <v>374</v>
      </c>
      <c r="B176" t="s">
        <v>332</v>
      </c>
      <c r="C176" t="s">
        <v>375</v>
      </c>
      <c r="D176" t="s">
        <v>376</v>
      </c>
      <c r="E176">
        <v>45.097299999999997</v>
      </c>
      <c r="F176">
        <v>-66.434100000000001</v>
      </c>
      <c r="G176" s="1">
        <v>38842</v>
      </c>
      <c r="H176" s="1">
        <v>43079</v>
      </c>
      <c r="I176">
        <v>11.446575340000001</v>
      </c>
      <c r="J176">
        <v>3.3</v>
      </c>
      <c r="K176">
        <v>2.6920473989999998</v>
      </c>
      <c r="L176">
        <v>0.90732787299999995</v>
      </c>
      <c r="M176">
        <f t="shared" si="2"/>
        <v>0.60795260100000004</v>
      </c>
      <c r="N176">
        <v>1.71</v>
      </c>
      <c r="O176">
        <v>-0.71</v>
      </c>
      <c r="P176">
        <v>0.14000000000000001</v>
      </c>
      <c r="Q176">
        <v>2.7</v>
      </c>
      <c r="R176">
        <v>-2.89</v>
      </c>
      <c r="S176">
        <v>-0.1</v>
      </c>
      <c r="T176">
        <v>5.59</v>
      </c>
      <c r="U176">
        <v>3.1989999999999998</v>
      </c>
      <c r="V176">
        <v>-8.9266547000000002E-2</v>
      </c>
      <c r="W176">
        <v>-134.14238</v>
      </c>
      <c r="X176">
        <v>184.04238000000001</v>
      </c>
      <c r="Y176">
        <v>135.85762</v>
      </c>
      <c r="Z176">
        <v>-3.4020473990000002</v>
      </c>
      <c r="AA176">
        <v>20.78</v>
      </c>
      <c r="AB176">
        <v>0.32152598999999998</v>
      </c>
      <c r="AC176">
        <v>10.3</v>
      </c>
      <c r="AD176">
        <v>1076</v>
      </c>
      <c r="AE176">
        <v>2.533199787</v>
      </c>
      <c r="AF176">
        <v>1.117785724</v>
      </c>
      <c r="AG176" t="s">
        <v>377</v>
      </c>
      <c r="AH176">
        <v>1</v>
      </c>
      <c r="AI176">
        <v>0</v>
      </c>
      <c r="AJ176">
        <v>0</v>
      </c>
      <c r="AK176">
        <v>0</v>
      </c>
      <c r="AL176" t="s">
        <v>155</v>
      </c>
      <c r="AM176" t="s">
        <v>275</v>
      </c>
      <c r="AN176">
        <v>-0.26529999999999998</v>
      </c>
      <c r="AO176">
        <v>0.49</v>
      </c>
      <c r="AP176">
        <v>7.57</v>
      </c>
      <c r="AQ176">
        <v>0.23</v>
      </c>
      <c r="AR176">
        <v>1000</v>
      </c>
      <c r="AS176">
        <v>28.53373539</v>
      </c>
    </row>
    <row r="177" spans="1:45" x14ac:dyDescent="0.2">
      <c r="A177" t="s">
        <v>378</v>
      </c>
      <c r="B177" t="s">
        <v>332</v>
      </c>
      <c r="C177" t="s">
        <v>375</v>
      </c>
      <c r="D177" t="s">
        <v>376</v>
      </c>
      <c r="E177">
        <v>45.0974</v>
      </c>
      <c r="F177">
        <v>-66.435299999999998</v>
      </c>
      <c r="G177" s="1">
        <v>38842</v>
      </c>
      <c r="H177" s="1">
        <v>43079</v>
      </c>
      <c r="I177">
        <v>11.446575340000001</v>
      </c>
      <c r="J177">
        <v>2.11</v>
      </c>
      <c r="K177">
        <v>2.1948204320000002</v>
      </c>
      <c r="L177">
        <v>0.90987760600000001</v>
      </c>
      <c r="M177">
        <f t="shared" si="2"/>
        <v>-8.4820432000000334E-2</v>
      </c>
      <c r="N177">
        <v>1.71</v>
      </c>
      <c r="O177">
        <v>-0.71</v>
      </c>
      <c r="P177">
        <v>0.14000000000000001</v>
      </c>
      <c r="Q177">
        <v>2.7</v>
      </c>
      <c r="R177">
        <v>-2.89</v>
      </c>
      <c r="S177">
        <v>-0.1</v>
      </c>
      <c r="T177">
        <v>5.59</v>
      </c>
      <c r="U177">
        <v>3.476</v>
      </c>
      <c r="V177">
        <v>-0.13881932</v>
      </c>
      <c r="W177">
        <v>-134.14238</v>
      </c>
      <c r="X177">
        <v>211.74238</v>
      </c>
      <c r="Y177">
        <v>135.85762</v>
      </c>
      <c r="Z177">
        <v>-2.9048204320000002</v>
      </c>
      <c r="AA177">
        <v>20.78</v>
      </c>
      <c r="AB177" t="s">
        <v>68</v>
      </c>
      <c r="AC177">
        <v>10.3</v>
      </c>
      <c r="AD177">
        <v>1076</v>
      </c>
      <c r="AE177">
        <v>0.945847824</v>
      </c>
      <c r="AF177">
        <v>1.063367154</v>
      </c>
      <c r="AG177" t="s">
        <v>377</v>
      </c>
      <c r="AH177">
        <v>1</v>
      </c>
      <c r="AI177">
        <v>0</v>
      </c>
      <c r="AJ177">
        <v>0</v>
      </c>
      <c r="AK177">
        <v>0</v>
      </c>
      <c r="AL177" t="s">
        <v>155</v>
      </c>
      <c r="AM177" t="s">
        <v>275</v>
      </c>
      <c r="AN177">
        <v>3.3399999999999999E-2</v>
      </c>
      <c r="AO177">
        <v>0.25</v>
      </c>
      <c r="AP177">
        <v>38.002499999999998</v>
      </c>
      <c r="AQ177">
        <v>0.23</v>
      </c>
      <c r="AR177">
        <v>1000</v>
      </c>
      <c r="AS177">
        <v>1000</v>
      </c>
    </row>
    <row r="178" spans="1:45" x14ac:dyDescent="0.2">
      <c r="A178" t="s">
        <v>379</v>
      </c>
      <c r="B178" t="s">
        <v>332</v>
      </c>
      <c r="C178" t="s">
        <v>375</v>
      </c>
      <c r="D178" t="s">
        <v>376</v>
      </c>
      <c r="E178">
        <v>45.0976</v>
      </c>
      <c r="F178">
        <v>-66.438999999999993</v>
      </c>
      <c r="G178" s="1">
        <v>38842</v>
      </c>
      <c r="H178" s="1">
        <v>41830</v>
      </c>
      <c r="I178">
        <v>8.4301369860000008</v>
      </c>
      <c r="J178">
        <v>2.84</v>
      </c>
      <c r="K178">
        <v>2.3050687330000001</v>
      </c>
      <c r="L178">
        <v>0.94487428699999998</v>
      </c>
      <c r="M178">
        <f t="shared" si="2"/>
        <v>0.53493126699999971</v>
      </c>
      <c r="N178">
        <v>1.71</v>
      </c>
      <c r="O178">
        <v>-0.71</v>
      </c>
      <c r="P178">
        <v>0.14000000000000001</v>
      </c>
      <c r="Q178">
        <v>2.7</v>
      </c>
      <c r="R178">
        <v>-2.89</v>
      </c>
      <c r="S178">
        <v>-0.1</v>
      </c>
      <c r="T178">
        <v>5.59</v>
      </c>
      <c r="U178">
        <v>3.407</v>
      </c>
      <c r="V178">
        <v>-0.12647585</v>
      </c>
      <c r="W178">
        <v>-134.14238</v>
      </c>
      <c r="X178">
        <v>204.84237999999999</v>
      </c>
      <c r="Y178">
        <v>135.85762</v>
      </c>
      <c r="Z178">
        <v>-3.0150687330000001</v>
      </c>
      <c r="AA178">
        <v>20.78</v>
      </c>
      <c r="AB178">
        <v>0.40394474499999999</v>
      </c>
      <c r="AC178">
        <v>10.3</v>
      </c>
      <c r="AD178">
        <v>1076</v>
      </c>
      <c r="AE178">
        <v>0.945847824</v>
      </c>
      <c r="AF178">
        <v>1.063367154</v>
      </c>
      <c r="AG178" t="s">
        <v>380</v>
      </c>
      <c r="AH178">
        <v>1</v>
      </c>
      <c r="AI178">
        <v>0</v>
      </c>
      <c r="AJ178">
        <v>0</v>
      </c>
      <c r="AK178">
        <v>0</v>
      </c>
      <c r="AL178" t="s">
        <v>155</v>
      </c>
      <c r="AM178" t="s">
        <v>275</v>
      </c>
      <c r="AN178">
        <v>-8.72E-2</v>
      </c>
      <c r="AO178">
        <v>0.47</v>
      </c>
      <c r="AP178">
        <v>23.074999999999999</v>
      </c>
      <c r="AQ178">
        <v>0.23</v>
      </c>
      <c r="AR178">
        <v>1000</v>
      </c>
      <c r="AS178">
        <v>264.62155960000001</v>
      </c>
    </row>
    <row r="179" spans="1:45" x14ac:dyDescent="0.2">
      <c r="A179" t="s">
        <v>381</v>
      </c>
      <c r="B179" t="s">
        <v>332</v>
      </c>
      <c r="C179" t="s">
        <v>375</v>
      </c>
      <c r="D179" t="s">
        <v>376</v>
      </c>
      <c r="E179">
        <v>45.097900000000003</v>
      </c>
      <c r="F179">
        <v>-66.439779999999999</v>
      </c>
      <c r="G179" s="1">
        <v>38842</v>
      </c>
      <c r="H179" s="1">
        <v>43079</v>
      </c>
      <c r="I179">
        <v>11.446575340000001</v>
      </c>
      <c r="J179">
        <v>2.2799999999999998</v>
      </c>
      <c r="K179">
        <v>12.10992267</v>
      </c>
      <c r="L179">
        <v>0.91136446000000004</v>
      </c>
      <c r="M179">
        <f t="shared" si="2"/>
        <v>-9.8299226700000002</v>
      </c>
      <c r="N179">
        <v>1.71</v>
      </c>
      <c r="O179">
        <v>-0.71</v>
      </c>
      <c r="P179">
        <v>0.14000000000000001</v>
      </c>
      <c r="Q179">
        <v>2.7</v>
      </c>
      <c r="R179">
        <v>-2.89</v>
      </c>
      <c r="S179">
        <v>-0.1</v>
      </c>
      <c r="T179">
        <v>5.59</v>
      </c>
      <c r="U179">
        <v>3.55</v>
      </c>
      <c r="V179">
        <v>-0.15205724500000001</v>
      </c>
      <c r="W179">
        <v>-134.14238</v>
      </c>
      <c r="X179">
        <v>219.14238</v>
      </c>
      <c r="Y179">
        <v>135.85762</v>
      </c>
      <c r="Z179">
        <v>-12.81992267</v>
      </c>
      <c r="AA179">
        <v>20.78</v>
      </c>
      <c r="AB179" t="s">
        <v>68</v>
      </c>
      <c r="AC179">
        <v>10.3</v>
      </c>
      <c r="AD179">
        <v>1076</v>
      </c>
      <c r="AE179">
        <v>0.945847824</v>
      </c>
      <c r="AF179">
        <v>1.063367154</v>
      </c>
      <c r="AG179" t="s">
        <v>377</v>
      </c>
      <c r="AH179">
        <v>1</v>
      </c>
      <c r="AI179">
        <v>0</v>
      </c>
      <c r="AJ179">
        <v>0</v>
      </c>
      <c r="AK179">
        <v>0</v>
      </c>
      <c r="AL179" t="s">
        <v>155</v>
      </c>
      <c r="AM179" t="s">
        <v>275</v>
      </c>
      <c r="AN179">
        <v>8.1000000000000003E-2</v>
      </c>
      <c r="AO179">
        <v>0.57999999999999996</v>
      </c>
      <c r="AP179">
        <v>11.022500000000001</v>
      </c>
      <c r="AQ179">
        <v>0.23</v>
      </c>
      <c r="AR179">
        <v>1000</v>
      </c>
      <c r="AS179">
        <v>1000</v>
      </c>
    </row>
    <row r="180" spans="1:45" x14ac:dyDescent="0.2">
      <c r="A180" t="s">
        <v>382</v>
      </c>
      <c r="B180" t="s">
        <v>332</v>
      </c>
      <c r="C180" t="s">
        <v>375</v>
      </c>
      <c r="D180" t="s">
        <v>383</v>
      </c>
      <c r="E180">
        <v>46.782499999999999</v>
      </c>
      <c r="F180">
        <v>-64.907200000000003</v>
      </c>
      <c r="G180" t="s">
        <v>384</v>
      </c>
      <c r="H180" s="1">
        <v>43049</v>
      </c>
      <c r="I180">
        <v>11.128767119999999</v>
      </c>
      <c r="J180">
        <v>2</v>
      </c>
      <c r="K180">
        <v>3.6601322610000002</v>
      </c>
      <c r="L180">
        <v>0.88158641699999996</v>
      </c>
      <c r="M180">
        <f t="shared" si="2"/>
        <v>-1.6601322610000002</v>
      </c>
      <c r="N180">
        <v>3.09</v>
      </c>
      <c r="O180">
        <v>4.3899999999999997</v>
      </c>
      <c r="P180">
        <v>0.84</v>
      </c>
      <c r="Q180">
        <v>1.22</v>
      </c>
      <c r="R180">
        <v>0.45</v>
      </c>
      <c r="S180">
        <v>0.84</v>
      </c>
      <c r="T180">
        <v>0.77</v>
      </c>
      <c r="U180">
        <v>0.95799999999999996</v>
      </c>
      <c r="V180">
        <v>0.34025973999999998</v>
      </c>
      <c r="W180">
        <v>-40.964891190000003</v>
      </c>
      <c r="X180">
        <v>14.76489119</v>
      </c>
      <c r="Y180">
        <v>81.035108809999997</v>
      </c>
      <c r="Z180">
        <v>0.72986773900000002</v>
      </c>
      <c r="AA180">
        <v>21.22</v>
      </c>
      <c r="AB180">
        <v>0.34043538699999998</v>
      </c>
      <c r="AC180">
        <v>10.5</v>
      </c>
      <c r="AD180">
        <v>794</v>
      </c>
      <c r="AE180">
        <v>1.4965356649999999</v>
      </c>
      <c r="AF180">
        <v>2.0820009879999999</v>
      </c>
      <c r="AG180" t="s">
        <v>377</v>
      </c>
      <c r="AH180">
        <v>1</v>
      </c>
      <c r="AI180">
        <v>0</v>
      </c>
      <c r="AJ180">
        <v>0</v>
      </c>
      <c r="AK180">
        <v>0</v>
      </c>
      <c r="AL180" t="s">
        <v>155</v>
      </c>
      <c r="AM180" t="s">
        <v>275</v>
      </c>
      <c r="AN180">
        <v>-0.33210000000000001</v>
      </c>
      <c r="AO180">
        <v>0.82</v>
      </c>
      <c r="AP180">
        <v>24.017499999999998</v>
      </c>
      <c r="AQ180">
        <v>0.04</v>
      </c>
      <c r="AR180">
        <v>1000</v>
      </c>
      <c r="AS180">
        <v>72.320084309999999</v>
      </c>
    </row>
    <row r="181" spans="1:45" x14ac:dyDescent="0.2">
      <c r="A181" t="s">
        <v>385</v>
      </c>
      <c r="B181" t="s">
        <v>332</v>
      </c>
      <c r="C181" t="s">
        <v>375</v>
      </c>
      <c r="D181" t="s">
        <v>383</v>
      </c>
      <c r="E181">
        <v>46.782299999999999</v>
      </c>
      <c r="F181">
        <v>-64.906580000000005</v>
      </c>
      <c r="G181" t="s">
        <v>384</v>
      </c>
      <c r="H181" s="1">
        <v>43049</v>
      </c>
      <c r="I181">
        <v>11.128767119999999</v>
      </c>
      <c r="J181">
        <v>2.16</v>
      </c>
      <c r="K181">
        <v>1.2192637079999999</v>
      </c>
      <c r="L181">
        <v>0.66682445899999998</v>
      </c>
      <c r="M181">
        <f t="shared" si="2"/>
        <v>0.9407362920000002</v>
      </c>
      <c r="N181">
        <v>3.09</v>
      </c>
      <c r="O181">
        <v>4.3899999999999997</v>
      </c>
      <c r="P181">
        <v>0.84</v>
      </c>
      <c r="Q181">
        <v>1.22</v>
      </c>
      <c r="R181">
        <v>0.45</v>
      </c>
      <c r="S181">
        <v>0.84</v>
      </c>
      <c r="T181">
        <v>0.77</v>
      </c>
      <c r="U181">
        <v>1</v>
      </c>
      <c r="V181">
        <v>0.28571428599999998</v>
      </c>
      <c r="W181">
        <v>-40.964891190000003</v>
      </c>
      <c r="X181">
        <v>18.964891189999999</v>
      </c>
      <c r="Y181">
        <v>81.035108809999997</v>
      </c>
      <c r="Z181">
        <v>3.170736292</v>
      </c>
      <c r="AA181">
        <v>21.22</v>
      </c>
      <c r="AB181" t="s">
        <v>68</v>
      </c>
      <c r="AC181">
        <v>10.5</v>
      </c>
      <c r="AD181">
        <v>794</v>
      </c>
      <c r="AE181">
        <v>5.4769550349999996</v>
      </c>
      <c r="AF181">
        <v>4.9367833040000004</v>
      </c>
      <c r="AG181" t="s">
        <v>377</v>
      </c>
      <c r="AH181">
        <v>1</v>
      </c>
      <c r="AI181">
        <v>0</v>
      </c>
      <c r="AJ181">
        <v>0</v>
      </c>
      <c r="AK181">
        <v>0</v>
      </c>
      <c r="AL181" t="s">
        <v>155</v>
      </c>
      <c r="AM181" t="s">
        <v>275</v>
      </c>
      <c r="AN181">
        <v>6.6000000000000003E-2</v>
      </c>
      <c r="AO181">
        <v>2.8000000000000001E-2</v>
      </c>
      <c r="AP181">
        <v>16.796666699999999</v>
      </c>
      <c r="AQ181">
        <v>0.04</v>
      </c>
      <c r="AR181">
        <v>101</v>
      </c>
      <c r="AS181">
        <v>1000</v>
      </c>
    </row>
    <row r="182" spans="1:45" x14ac:dyDescent="0.2">
      <c r="A182" t="s">
        <v>386</v>
      </c>
      <c r="B182" t="s">
        <v>332</v>
      </c>
      <c r="C182" t="s">
        <v>375</v>
      </c>
      <c r="D182" t="s">
        <v>383</v>
      </c>
      <c r="E182">
        <v>46.782200000000003</v>
      </c>
      <c r="F182">
        <v>-64.907399999999996</v>
      </c>
      <c r="G182" t="s">
        <v>384</v>
      </c>
      <c r="H182" s="1">
        <v>43049</v>
      </c>
      <c r="I182">
        <v>11.128767119999999</v>
      </c>
      <c r="J182">
        <v>1.62</v>
      </c>
      <c r="K182">
        <v>-2.892241828</v>
      </c>
      <c r="L182">
        <v>0.36947791800000002</v>
      </c>
      <c r="M182">
        <f t="shared" si="2"/>
        <v>4.5122418280000005</v>
      </c>
      <c r="N182">
        <v>3.09</v>
      </c>
      <c r="O182">
        <v>4.3899999999999997</v>
      </c>
      <c r="P182">
        <v>0.84</v>
      </c>
      <c r="Q182">
        <v>1.22</v>
      </c>
      <c r="R182">
        <v>0.45</v>
      </c>
      <c r="S182">
        <v>0.84</v>
      </c>
      <c r="T182">
        <v>0.77</v>
      </c>
      <c r="U182">
        <v>0.90900000000000003</v>
      </c>
      <c r="V182">
        <v>0.40389610399999998</v>
      </c>
      <c r="W182">
        <v>-40.964891190000003</v>
      </c>
      <c r="X182">
        <v>9.8648911849999994</v>
      </c>
      <c r="Y182">
        <v>81.035108809999997</v>
      </c>
      <c r="Z182">
        <v>7.2822418280000001</v>
      </c>
      <c r="AA182">
        <v>21.22</v>
      </c>
      <c r="AB182">
        <v>0.15986192499999999</v>
      </c>
      <c r="AC182">
        <v>10.5</v>
      </c>
      <c r="AD182">
        <v>794</v>
      </c>
      <c r="AE182">
        <v>5.4769550349999996</v>
      </c>
      <c r="AF182">
        <v>4.9367833040000004</v>
      </c>
      <c r="AG182" t="s">
        <v>377</v>
      </c>
      <c r="AH182">
        <v>1</v>
      </c>
      <c r="AI182">
        <v>0</v>
      </c>
      <c r="AJ182">
        <v>0</v>
      </c>
      <c r="AK182">
        <v>0</v>
      </c>
      <c r="AL182" t="s">
        <v>155</v>
      </c>
      <c r="AM182" t="s">
        <v>275</v>
      </c>
      <c r="AN182">
        <v>-0.3856</v>
      </c>
      <c r="AO182">
        <v>0.48</v>
      </c>
      <c r="AP182">
        <v>46.012500000000003</v>
      </c>
      <c r="AQ182">
        <v>0.04</v>
      </c>
      <c r="AR182">
        <v>16</v>
      </c>
      <c r="AS182">
        <v>119.32702279999999</v>
      </c>
    </row>
    <row r="183" spans="1:45" x14ac:dyDescent="0.2">
      <c r="A183" t="s">
        <v>387</v>
      </c>
      <c r="B183" t="s">
        <v>332</v>
      </c>
      <c r="C183" t="s">
        <v>375</v>
      </c>
      <c r="D183" t="s">
        <v>383</v>
      </c>
      <c r="E183">
        <v>46.7821</v>
      </c>
      <c r="F183">
        <v>-64.906850000000006</v>
      </c>
      <c r="G183" t="s">
        <v>384</v>
      </c>
      <c r="H183" s="1">
        <v>43049</v>
      </c>
      <c r="I183">
        <v>11.128767119999999</v>
      </c>
      <c r="J183">
        <v>1.28</v>
      </c>
      <c r="K183">
        <v>0.65302460299999998</v>
      </c>
      <c r="L183">
        <v>0.55165063800000003</v>
      </c>
      <c r="M183">
        <f t="shared" si="2"/>
        <v>0.62697539700000005</v>
      </c>
      <c r="N183">
        <v>3.09</v>
      </c>
      <c r="O183">
        <v>4.3899999999999997</v>
      </c>
      <c r="P183">
        <v>0.84</v>
      </c>
      <c r="Q183">
        <v>1.22</v>
      </c>
      <c r="R183">
        <v>0.45</v>
      </c>
      <c r="S183">
        <v>0.84</v>
      </c>
      <c r="T183">
        <v>0.77</v>
      </c>
      <c r="U183">
        <v>0.97799999999999998</v>
      </c>
      <c r="V183">
        <v>0.31428571399999999</v>
      </c>
      <c r="W183">
        <v>-40.964891190000003</v>
      </c>
      <c r="X183">
        <v>16.76489119</v>
      </c>
      <c r="Y183">
        <v>81.035108809999997</v>
      </c>
      <c r="Z183">
        <v>3.7369753970000001</v>
      </c>
      <c r="AA183">
        <v>21.22</v>
      </c>
      <c r="AB183" t="s">
        <v>68</v>
      </c>
      <c r="AC183">
        <v>10.5</v>
      </c>
      <c r="AD183">
        <v>794</v>
      </c>
      <c r="AE183">
        <v>5.4769550349999996</v>
      </c>
      <c r="AF183">
        <v>4.9367833040000004</v>
      </c>
      <c r="AG183" t="s">
        <v>377</v>
      </c>
      <c r="AH183">
        <v>1</v>
      </c>
      <c r="AI183">
        <v>0</v>
      </c>
      <c r="AJ183">
        <v>0</v>
      </c>
      <c r="AK183">
        <v>0</v>
      </c>
      <c r="AL183" t="s">
        <v>155</v>
      </c>
      <c r="AM183" t="s">
        <v>275</v>
      </c>
      <c r="AN183">
        <v>-0.24440000000000001</v>
      </c>
      <c r="AO183">
        <v>0.25</v>
      </c>
      <c r="AP183">
        <v>47.167499999999997</v>
      </c>
      <c r="AQ183">
        <v>0.04</v>
      </c>
      <c r="AR183">
        <v>69</v>
      </c>
      <c r="AS183">
        <v>192.99304420000001</v>
      </c>
    </row>
    <row r="184" spans="1:45" x14ac:dyDescent="0.2">
      <c r="A184" t="s">
        <v>388</v>
      </c>
      <c r="B184" t="s">
        <v>332</v>
      </c>
      <c r="C184" t="s">
        <v>375</v>
      </c>
      <c r="D184" t="s">
        <v>389</v>
      </c>
      <c r="E184">
        <v>44.6922</v>
      </c>
      <c r="F184">
        <v>-63.140799999999999</v>
      </c>
      <c r="G184" s="1">
        <v>38812</v>
      </c>
      <c r="H184" t="s">
        <v>391</v>
      </c>
      <c r="I184">
        <v>11.45205479</v>
      </c>
      <c r="J184">
        <v>1.99</v>
      </c>
      <c r="K184">
        <v>1.957821609</v>
      </c>
      <c r="L184">
        <v>0.95514202000000004</v>
      </c>
      <c r="M184">
        <f t="shared" si="2"/>
        <v>3.2178390999999973E-2</v>
      </c>
      <c r="N184">
        <v>2.78</v>
      </c>
      <c r="O184">
        <v>11.08</v>
      </c>
      <c r="P184">
        <v>1.6</v>
      </c>
      <c r="Q184">
        <v>1.77</v>
      </c>
      <c r="R184">
        <v>0.44</v>
      </c>
      <c r="S184">
        <v>1.1100000000000001</v>
      </c>
      <c r="T184">
        <v>1.33</v>
      </c>
      <c r="U184">
        <v>1.1140000000000001</v>
      </c>
      <c r="V184">
        <v>0.49323308300000002</v>
      </c>
      <c r="W184">
        <v>-66.654463100000001</v>
      </c>
      <c r="X184">
        <v>1.0544631019999999</v>
      </c>
      <c r="Y184">
        <v>110.3455369</v>
      </c>
      <c r="Z184">
        <v>9.1221783910000003</v>
      </c>
      <c r="AA184">
        <v>40.909999999999997</v>
      </c>
      <c r="AB184">
        <v>0.22900252300000001</v>
      </c>
      <c r="AC184">
        <v>11.4</v>
      </c>
      <c r="AD184">
        <v>1314</v>
      </c>
      <c r="AE184">
        <v>2.121458472</v>
      </c>
      <c r="AF184">
        <v>3.0246145109999998</v>
      </c>
      <c r="AG184" t="s">
        <v>390</v>
      </c>
      <c r="AH184">
        <v>0</v>
      </c>
      <c r="AI184">
        <v>0</v>
      </c>
      <c r="AJ184">
        <v>1</v>
      </c>
      <c r="AK184">
        <v>0</v>
      </c>
      <c r="AL184" t="s">
        <v>48</v>
      </c>
      <c r="AM184" t="s">
        <v>275</v>
      </c>
      <c r="AN184">
        <v>1.9699999999999999E-2</v>
      </c>
      <c r="AO184">
        <v>4.0000000000000001E-3</v>
      </c>
      <c r="AP184">
        <v>9.3466666699999994</v>
      </c>
      <c r="AQ184">
        <v>0.17</v>
      </c>
      <c r="AR184">
        <v>13</v>
      </c>
      <c r="AS184">
        <v>1000</v>
      </c>
    </row>
    <row r="185" spans="1:45" x14ac:dyDescent="0.2">
      <c r="A185" t="s">
        <v>392</v>
      </c>
      <c r="B185" t="s">
        <v>332</v>
      </c>
      <c r="C185" t="s">
        <v>375</v>
      </c>
      <c r="D185" t="s">
        <v>389</v>
      </c>
      <c r="E185">
        <v>44.692399999999999</v>
      </c>
      <c r="F185">
        <v>-63.139800000000001</v>
      </c>
      <c r="G185" s="1">
        <v>38812</v>
      </c>
      <c r="H185" t="s">
        <v>391</v>
      </c>
      <c r="I185">
        <v>11.45205479</v>
      </c>
      <c r="J185" t="s">
        <v>68</v>
      </c>
      <c r="K185">
        <v>2.2624251919999998</v>
      </c>
      <c r="L185">
        <v>0.976910422</v>
      </c>
      <c r="M185" t="e">
        <f t="shared" si="2"/>
        <v>#VALUE!</v>
      </c>
      <c r="N185">
        <v>2.78</v>
      </c>
      <c r="O185">
        <v>11.08</v>
      </c>
      <c r="P185">
        <v>1.6</v>
      </c>
      <c r="Q185">
        <v>1.77</v>
      </c>
      <c r="R185">
        <v>0.44</v>
      </c>
      <c r="S185">
        <v>1.1100000000000001</v>
      </c>
      <c r="T185">
        <v>1.33</v>
      </c>
      <c r="U185">
        <v>1.0860000000000001</v>
      </c>
      <c r="V185">
        <v>0.514285714</v>
      </c>
      <c r="W185">
        <v>-66.654463100000001</v>
      </c>
      <c r="X185">
        <v>-1.7455368979999999</v>
      </c>
      <c r="Y185">
        <v>110.3455369</v>
      </c>
      <c r="Z185">
        <v>8.8175748079999998</v>
      </c>
      <c r="AA185">
        <v>40.909999999999997</v>
      </c>
      <c r="AB185">
        <v>0.22470701600000001</v>
      </c>
      <c r="AC185">
        <v>11.4</v>
      </c>
      <c r="AD185">
        <v>1314</v>
      </c>
      <c r="AE185">
        <v>2.121458472</v>
      </c>
      <c r="AF185">
        <v>3.0246145109999998</v>
      </c>
      <c r="AG185" t="s">
        <v>390</v>
      </c>
      <c r="AH185">
        <v>0</v>
      </c>
      <c r="AI185">
        <v>0</v>
      </c>
      <c r="AJ185">
        <v>1</v>
      </c>
      <c r="AK185">
        <v>0</v>
      </c>
      <c r="AL185" t="s">
        <v>48</v>
      </c>
      <c r="AM185" t="s">
        <v>275</v>
      </c>
      <c r="AN185">
        <v>-5.7700000000000001E-2</v>
      </c>
      <c r="AO185">
        <v>0.48</v>
      </c>
      <c r="AP185">
        <v>21.0075</v>
      </c>
      <c r="AQ185">
        <v>0.17</v>
      </c>
      <c r="AR185">
        <v>1000</v>
      </c>
      <c r="AS185">
        <v>364.08145580000001</v>
      </c>
    </row>
    <row r="186" spans="1:45" x14ac:dyDescent="0.2">
      <c r="A186" t="s">
        <v>393</v>
      </c>
      <c r="B186" t="s">
        <v>332</v>
      </c>
      <c r="C186" t="s">
        <v>169</v>
      </c>
      <c r="D186" t="s">
        <v>394</v>
      </c>
      <c r="E186">
        <v>33.345480000000002</v>
      </c>
      <c r="F186">
        <v>-79.198139999999995</v>
      </c>
      <c r="G186" t="s">
        <v>396</v>
      </c>
      <c r="H186" t="s">
        <v>397</v>
      </c>
      <c r="I186">
        <v>7.4958904110000004</v>
      </c>
      <c r="J186">
        <v>1.32</v>
      </c>
      <c r="K186">
        <v>0.28475352500000001</v>
      </c>
      <c r="L186">
        <v>8.4868488000000006E-2</v>
      </c>
      <c r="M186">
        <f t="shared" si="2"/>
        <v>1.0352464750000001</v>
      </c>
      <c r="N186">
        <v>3.17</v>
      </c>
      <c r="O186">
        <v>8.27</v>
      </c>
      <c r="P186">
        <v>1.29</v>
      </c>
      <c r="Q186">
        <v>0.63</v>
      </c>
      <c r="R186">
        <v>-0.76</v>
      </c>
      <c r="S186">
        <v>-7.0000000000000007E-2</v>
      </c>
      <c r="T186">
        <v>1.39</v>
      </c>
      <c r="U186">
        <v>1.05</v>
      </c>
      <c r="V186">
        <v>-0.30215827299999998</v>
      </c>
      <c r="W186">
        <v>-68.728491829999996</v>
      </c>
      <c r="X186">
        <v>110.7284918</v>
      </c>
      <c r="Y186">
        <v>-5.7284918319999996</v>
      </c>
      <c r="Z186">
        <v>7.9852464750000003</v>
      </c>
      <c r="AA186" t="s">
        <v>68</v>
      </c>
      <c r="AB186">
        <v>0.477243219</v>
      </c>
      <c r="AC186">
        <v>24.1</v>
      </c>
      <c r="AD186">
        <v>1328</v>
      </c>
      <c r="AE186">
        <v>5.3158363099999999</v>
      </c>
      <c r="AF186">
        <v>1.6975629169999999</v>
      </c>
      <c r="AG186" t="s">
        <v>395</v>
      </c>
      <c r="AH186">
        <v>0</v>
      </c>
      <c r="AI186">
        <v>1</v>
      </c>
      <c r="AJ186">
        <v>1</v>
      </c>
      <c r="AK186">
        <v>0</v>
      </c>
      <c r="AL186" t="s">
        <v>54</v>
      </c>
      <c r="AM186" t="s">
        <v>275</v>
      </c>
      <c r="AN186">
        <v>-0.28299999999999997</v>
      </c>
      <c r="AO186">
        <v>0.95</v>
      </c>
      <c r="AP186">
        <v>148.25</v>
      </c>
      <c r="AQ186">
        <v>0.2</v>
      </c>
      <c r="AR186">
        <v>384</v>
      </c>
      <c r="AS186">
        <v>523.85159009999995</v>
      </c>
    </row>
    <row r="187" spans="1:45" x14ac:dyDescent="0.2">
      <c r="A187" t="s">
        <v>398</v>
      </c>
      <c r="B187" t="s">
        <v>332</v>
      </c>
      <c r="C187" t="s">
        <v>169</v>
      </c>
      <c r="D187" t="s">
        <v>394</v>
      </c>
      <c r="E187">
        <v>33.348300000000002</v>
      </c>
      <c r="F187">
        <v>-79.195750000000004</v>
      </c>
      <c r="G187" t="s">
        <v>396</v>
      </c>
      <c r="H187" t="s">
        <v>397</v>
      </c>
      <c r="I187">
        <v>7.4958904110000004</v>
      </c>
      <c r="J187">
        <v>3.08</v>
      </c>
      <c r="K187">
        <v>3.0760339000000001</v>
      </c>
      <c r="L187">
        <v>0.90316453600000002</v>
      </c>
      <c r="M187">
        <f t="shared" si="2"/>
        <v>3.9660999999999724E-3</v>
      </c>
      <c r="N187">
        <v>3.17</v>
      </c>
      <c r="O187">
        <v>8.27</v>
      </c>
      <c r="P187">
        <v>1.29</v>
      </c>
      <c r="Q187">
        <v>0.63</v>
      </c>
      <c r="R187">
        <v>-0.76</v>
      </c>
      <c r="S187">
        <v>-7.0000000000000007E-2</v>
      </c>
      <c r="T187">
        <v>1.39</v>
      </c>
      <c r="U187">
        <v>0.97162499999999996</v>
      </c>
      <c r="V187">
        <v>-0.24577338100000001</v>
      </c>
      <c r="W187">
        <v>-68.728491829999996</v>
      </c>
      <c r="X187">
        <v>102.89099179999999</v>
      </c>
      <c r="Y187">
        <v>-5.7284918319999996</v>
      </c>
      <c r="Z187">
        <v>5.1939660999999999</v>
      </c>
      <c r="AA187" t="s">
        <v>68</v>
      </c>
      <c r="AB187">
        <v>1.1070563680000001</v>
      </c>
      <c r="AC187">
        <v>24.1</v>
      </c>
      <c r="AD187">
        <v>1328</v>
      </c>
      <c r="AE187">
        <v>3.3331499500000001</v>
      </c>
      <c r="AF187">
        <v>0.76243487099999996</v>
      </c>
      <c r="AG187" t="s">
        <v>399</v>
      </c>
      <c r="AH187">
        <v>0</v>
      </c>
      <c r="AI187">
        <v>1</v>
      </c>
      <c r="AJ187">
        <v>1</v>
      </c>
      <c r="AK187">
        <v>0</v>
      </c>
      <c r="AL187" t="s">
        <v>54</v>
      </c>
      <c r="AM187" t="s">
        <v>275</v>
      </c>
      <c r="AN187">
        <v>-0.14199999999999999</v>
      </c>
      <c r="AO187">
        <v>0.91</v>
      </c>
      <c r="AP187">
        <v>345.75</v>
      </c>
      <c r="AQ187">
        <v>0.2</v>
      </c>
      <c r="AR187">
        <v>10950</v>
      </c>
      <c r="AS187">
        <v>2434.8591550000001</v>
      </c>
    </row>
    <row r="188" spans="1:45" x14ac:dyDescent="0.2">
      <c r="A188" t="s">
        <v>400</v>
      </c>
      <c r="B188" t="s">
        <v>332</v>
      </c>
      <c r="C188" t="s">
        <v>169</v>
      </c>
      <c r="D188" t="s">
        <v>401</v>
      </c>
      <c r="E188">
        <v>43.283189999999998</v>
      </c>
      <c r="F188">
        <v>-70.580770000000001</v>
      </c>
      <c r="G188" t="s">
        <v>403</v>
      </c>
      <c r="H188" t="s">
        <v>404</v>
      </c>
      <c r="I188">
        <v>13.41917808</v>
      </c>
      <c r="J188">
        <v>4.1500000000000004</v>
      </c>
      <c r="K188">
        <v>3.9288899860000002</v>
      </c>
      <c r="L188">
        <v>0.92244320999999996</v>
      </c>
      <c r="M188">
        <f t="shared" si="2"/>
        <v>0.22111001400000019</v>
      </c>
      <c r="N188">
        <v>1.55</v>
      </c>
      <c r="O188">
        <v>2.48</v>
      </c>
      <c r="P188">
        <v>-0.69</v>
      </c>
      <c r="Q188">
        <v>1.216</v>
      </c>
      <c r="R188">
        <v>-1.462</v>
      </c>
      <c r="S188">
        <v>-0.11</v>
      </c>
      <c r="T188">
        <v>2.6779999999999999</v>
      </c>
      <c r="U188">
        <v>1.369</v>
      </c>
      <c r="V188">
        <v>-5.7132188E-2</v>
      </c>
      <c r="W188">
        <v>-99.551938280000002</v>
      </c>
      <c r="X188">
        <v>114.8519383</v>
      </c>
      <c r="Y188">
        <v>22.04806172</v>
      </c>
      <c r="Z188">
        <v>-1.448889986</v>
      </c>
      <c r="AA188">
        <v>33.700000000000003</v>
      </c>
      <c r="AB188">
        <v>0.25761396600000003</v>
      </c>
      <c r="AC188">
        <v>13.22</v>
      </c>
      <c r="AD188">
        <v>1200</v>
      </c>
      <c r="AE188">
        <v>0.594135097</v>
      </c>
      <c r="AF188">
        <v>0.36829384799999998</v>
      </c>
      <c r="AG188" t="s">
        <v>402</v>
      </c>
      <c r="AH188">
        <v>0</v>
      </c>
      <c r="AI188">
        <v>1</v>
      </c>
      <c r="AJ188">
        <v>1</v>
      </c>
      <c r="AK188">
        <v>0</v>
      </c>
      <c r="AL188" t="s">
        <v>54</v>
      </c>
      <c r="AM188" t="s">
        <v>275</v>
      </c>
      <c r="AN188">
        <v>-0.06</v>
      </c>
      <c r="AO188">
        <v>0.99</v>
      </c>
      <c r="AP188">
        <v>5.7050000000000001</v>
      </c>
      <c r="AQ188">
        <v>0.24</v>
      </c>
      <c r="AR188">
        <v>1000</v>
      </c>
      <c r="AS188">
        <v>95.083333330000002</v>
      </c>
    </row>
    <row r="189" spans="1:45" x14ac:dyDescent="0.2">
      <c r="A189" t="s">
        <v>405</v>
      </c>
      <c r="B189" t="s">
        <v>332</v>
      </c>
      <c r="C189" t="s">
        <v>169</v>
      </c>
      <c r="D189" t="s">
        <v>401</v>
      </c>
      <c r="E189">
        <v>43.283119999999997</v>
      </c>
      <c r="F189">
        <v>-70.581360000000004</v>
      </c>
      <c r="G189" t="s">
        <v>403</v>
      </c>
      <c r="H189" t="s">
        <v>404</v>
      </c>
      <c r="I189">
        <v>13.41917808</v>
      </c>
      <c r="J189">
        <v>2.79</v>
      </c>
      <c r="K189">
        <v>3.3444905290000002</v>
      </c>
      <c r="L189">
        <v>0.96558933000000002</v>
      </c>
      <c r="M189">
        <f t="shared" si="2"/>
        <v>-0.55449052900000018</v>
      </c>
      <c r="N189">
        <v>1.55</v>
      </c>
      <c r="O189">
        <v>2.48</v>
      </c>
      <c r="P189">
        <v>-0.69</v>
      </c>
      <c r="Q189">
        <v>1.216</v>
      </c>
      <c r="R189">
        <v>-1.462</v>
      </c>
      <c r="S189">
        <v>-0.11</v>
      </c>
      <c r="T189">
        <v>2.6779999999999999</v>
      </c>
      <c r="U189">
        <v>1.3480000000000001</v>
      </c>
      <c r="V189">
        <v>-4.9290515E-2</v>
      </c>
      <c r="W189">
        <v>-99.551938280000002</v>
      </c>
      <c r="X189">
        <v>112.75193830000001</v>
      </c>
      <c r="Y189">
        <v>22.04806172</v>
      </c>
      <c r="Z189">
        <v>-0.86449052900000001</v>
      </c>
      <c r="AA189">
        <v>33.700000000000003</v>
      </c>
      <c r="AB189">
        <v>0.271228792</v>
      </c>
      <c r="AC189">
        <v>13.22</v>
      </c>
      <c r="AD189">
        <v>1200</v>
      </c>
      <c r="AE189">
        <v>0.594135097</v>
      </c>
      <c r="AF189">
        <v>0.36829384799999998</v>
      </c>
      <c r="AG189" t="s">
        <v>406</v>
      </c>
      <c r="AH189">
        <v>0</v>
      </c>
      <c r="AI189">
        <v>1</v>
      </c>
      <c r="AJ189">
        <v>1</v>
      </c>
      <c r="AK189">
        <v>0</v>
      </c>
      <c r="AL189" t="s">
        <v>54</v>
      </c>
      <c r="AM189" t="s">
        <v>275</v>
      </c>
      <c r="AN189">
        <v>-0.1729</v>
      </c>
      <c r="AO189">
        <v>0.9</v>
      </c>
      <c r="AP189">
        <v>15.692500000000001</v>
      </c>
      <c r="AQ189">
        <v>0.24</v>
      </c>
      <c r="AR189">
        <v>1000</v>
      </c>
      <c r="AS189">
        <v>90.760555229999994</v>
      </c>
    </row>
    <row r="190" spans="1:45" x14ac:dyDescent="0.2">
      <c r="A190" t="s">
        <v>407</v>
      </c>
      <c r="B190" t="s">
        <v>332</v>
      </c>
      <c r="C190" t="s">
        <v>169</v>
      </c>
      <c r="D190" t="s">
        <v>408</v>
      </c>
      <c r="E190">
        <v>38.1491294</v>
      </c>
      <c r="F190">
        <v>-75.187666100000001</v>
      </c>
      <c r="G190" t="s">
        <v>410</v>
      </c>
      <c r="H190" t="s">
        <v>411</v>
      </c>
      <c r="I190">
        <v>9.2438356160000001</v>
      </c>
      <c r="J190">
        <v>1.5617050050000001</v>
      </c>
      <c r="K190">
        <v>-0.71861841299999996</v>
      </c>
      <c r="L190">
        <v>0.110871105</v>
      </c>
      <c r="M190">
        <f t="shared" si="2"/>
        <v>2.280323418</v>
      </c>
      <c r="N190">
        <v>5.97</v>
      </c>
      <c r="O190">
        <v>4.7300000000000004</v>
      </c>
      <c r="P190">
        <v>2.16</v>
      </c>
      <c r="Q190">
        <v>0.13400000000000001</v>
      </c>
      <c r="R190">
        <v>-6.9000000000000006E-2</v>
      </c>
      <c r="S190">
        <v>3.2000000000000001E-2</v>
      </c>
      <c r="T190">
        <v>0.20300000000000001</v>
      </c>
      <c r="U190">
        <v>7.3200000000000001E-2</v>
      </c>
      <c r="V190">
        <v>0.29950738900000001</v>
      </c>
      <c r="W190">
        <v>21.69970382</v>
      </c>
      <c r="X190">
        <v>-27.779703820000002</v>
      </c>
      <c r="Y190">
        <v>35.099703820000002</v>
      </c>
      <c r="Z190">
        <v>5.4486184130000002</v>
      </c>
      <c r="AA190">
        <v>45.16</v>
      </c>
      <c r="AB190">
        <v>0.149466344</v>
      </c>
      <c r="AC190">
        <v>18.77</v>
      </c>
      <c r="AD190">
        <v>1120</v>
      </c>
      <c r="AE190">
        <v>11.233285349999999</v>
      </c>
      <c r="AF190">
        <v>2.4506281250000002</v>
      </c>
      <c r="AG190" t="s">
        <v>409</v>
      </c>
      <c r="AH190">
        <v>1</v>
      </c>
      <c r="AI190">
        <v>1</v>
      </c>
      <c r="AJ190">
        <v>0</v>
      </c>
      <c r="AK190">
        <v>0</v>
      </c>
      <c r="AL190" t="s">
        <v>155</v>
      </c>
      <c r="AM190" t="s">
        <v>146</v>
      </c>
      <c r="AN190">
        <v>-0.52300000000000002</v>
      </c>
      <c r="AO190">
        <v>0.93300000000000005</v>
      </c>
      <c r="AP190">
        <v>11.653333330000001</v>
      </c>
      <c r="AQ190">
        <v>0.33200000000000002</v>
      </c>
      <c r="AR190">
        <v>0</v>
      </c>
      <c r="AS190">
        <v>22.281708089999999</v>
      </c>
    </row>
    <row r="191" spans="1:45" x14ac:dyDescent="0.2">
      <c r="A191" t="s">
        <v>412</v>
      </c>
      <c r="B191" t="s">
        <v>332</v>
      </c>
      <c r="C191" t="s">
        <v>169</v>
      </c>
      <c r="D191" t="s">
        <v>408</v>
      </c>
      <c r="E191">
        <v>38.1500682</v>
      </c>
      <c r="F191">
        <v>-75.187846100000002</v>
      </c>
      <c r="G191" t="s">
        <v>410</v>
      </c>
      <c r="H191" t="s">
        <v>411</v>
      </c>
      <c r="I191">
        <v>9.2438356160000001</v>
      </c>
      <c r="J191">
        <v>3.6814191969999999</v>
      </c>
      <c r="K191">
        <v>3.5469295139999999</v>
      </c>
      <c r="L191">
        <v>0.93251952299999996</v>
      </c>
      <c r="M191">
        <f t="shared" si="2"/>
        <v>0.13448968299999997</v>
      </c>
      <c r="N191">
        <v>5.97</v>
      </c>
      <c r="O191">
        <v>4.7300000000000004</v>
      </c>
      <c r="P191">
        <v>2.16</v>
      </c>
      <c r="Q191">
        <v>0.13400000000000001</v>
      </c>
      <c r="R191">
        <v>-6.9000000000000006E-2</v>
      </c>
      <c r="S191">
        <v>3.2000000000000001E-2</v>
      </c>
      <c r="T191">
        <v>0.20300000000000001</v>
      </c>
      <c r="U191">
        <v>0.1489</v>
      </c>
      <c r="V191">
        <v>-7.3399014999999998E-2</v>
      </c>
      <c r="W191">
        <v>21.69970382</v>
      </c>
      <c r="X191">
        <v>-20.209703820000001</v>
      </c>
      <c r="Y191">
        <v>35.099703820000002</v>
      </c>
      <c r="Z191">
        <v>1.1830704860000001</v>
      </c>
      <c r="AA191">
        <v>48.51</v>
      </c>
      <c r="AB191">
        <v>0.19113239600000001</v>
      </c>
      <c r="AC191">
        <v>18.77</v>
      </c>
      <c r="AD191">
        <v>1120</v>
      </c>
      <c r="AE191">
        <v>10.392824170000001</v>
      </c>
      <c r="AF191">
        <v>3.6872933510000001</v>
      </c>
      <c r="AG191" t="s">
        <v>413</v>
      </c>
      <c r="AH191">
        <v>1</v>
      </c>
      <c r="AI191">
        <v>1</v>
      </c>
      <c r="AJ191">
        <v>0</v>
      </c>
      <c r="AK191">
        <v>0</v>
      </c>
      <c r="AL191" t="s">
        <v>155</v>
      </c>
      <c r="AM191" t="s">
        <v>146</v>
      </c>
      <c r="AN191">
        <v>-0.22570000000000001</v>
      </c>
      <c r="AO191">
        <v>0.77</v>
      </c>
      <c r="AP191">
        <v>11.6875</v>
      </c>
      <c r="AQ191">
        <v>0.33200000000000002</v>
      </c>
      <c r="AR191">
        <v>0</v>
      </c>
      <c r="AS191">
        <v>51.783340719999998</v>
      </c>
    </row>
    <row r="192" spans="1:45" x14ac:dyDescent="0.2">
      <c r="A192" t="s">
        <v>414</v>
      </c>
      <c r="B192" t="s">
        <v>332</v>
      </c>
      <c r="C192" t="s">
        <v>169</v>
      </c>
      <c r="D192" t="s">
        <v>408</v>
      </c>
      <c r="E192">
        <v>38.151452200000001</v>
      </c>
      <c r="F192">
        <v>-75.188262100000003</v>
      </c>
      <c r="G192" t="s">
        <v>410</v>
      </c>
      <c r="H192" t="s">
        <v>411</v>
      </c>
      <c r="I192">
        <v>9.2438356160000001</v>
      </c>
      <c r="J192">
        <v>3.6530724550000002</v>
      </c>
      <c r="K192">
        <v>2.3851405579999998</v>
      </c>
      <c r="L192">
        <v>0.62576525299999997</v>
      </c>
      <c r="M192">
        <f t="shared" si="2"/>
        <v>1.2679318970000004</v>
      </c>
      <c r="N192">
        <v>5.97</v>
      </c>
      <c r="O192">
        <v>4.7300000000000004</v>
      </c>
      <c r="P192">
        <v>2.16</v>
      </c>
      <c r="Q192">
        <v>0.13400000000000001</v>
      </c>
      <c r="R192">
        <v>-6.9000000000000006E-2</v>
      </c>
      <c r="S192">
        <v>3.2000000000000001E-2</v>
      </c>
      <c r="T192">
        <v>0.20300000000000001</v>
      </c>
      <c r="U192">
        <v>0.1925</v>
      </c>
      <c r="V192">
        <v>-0.28817734</v>
      </c>
      <c r="W192">
        <v>21.69970382</v>
      </c>
      <c r="X192">
        <v>-15.84970382</v>
      </c>
      <c r="Y192">
        <v>35.099703820000002</v>
      </c>
      <c r="Z192">
        <v>2.3448594420000002</v>
      </c>
      <c r="AA192">
        <v>28.43</v>
      </c>
      <c r="AB192">
        <v>0.35632879299999998</v>
      </c>
      <c r="AC192">
        <v>18.77</v>
      </c>
      <c r="AD192">
        <v>1120</v>
      </c>
      <c r="AE192">
        <v>10.392824170000001</v>
      </c>
      <c r="AF192">
        <v>3.6872933510000001</v>
      </c>
      <c r="AG192" t="s">
        <v>341</v>
      </c>
      <c r="AH192">
        <v>1</v>
      </c>
      <c r="AI192">
        <v>0</v>
      </c>
      <c r="AJ192">
        <v>0</v>
      </c>
      <c r="AK192">
        <v>0</v>
      </c>
      <c r="AL192" t="s">
        <v>155</v>
      </c>
      <c r="AM192" t="s">
        <v>146</v>
      </c>
      <c r="AN192">
        <v>-0.13</v>
      </c>
      <c r="AO192">
        <v>0.17</v>
      </c>
      <c r="AP192">
        <v>25.045000000000002</v>
      </c>
      <c r="AQ192">
        <v>0.33200000000000002</v>
      </c>
      <c r="AR192">
        <v>0</v>
      </c>
      <c r="AS192">
        <v>192.6538462</v>
      </c>
    </row>
    <row r="193" spans="1:45" x14ac:dyDescent="0.2">
      <c r="A193" t="s">
        <v>415</v>
      </c>
      <c r="B193" t="s">
        <v>332</v>
      </c>
      <c r="C193" t="s">
        <v>169</v>
      </c>
      <c r="D193" t="s">
        <v>416</v>
      </c>
      <c r="E193">
        <v>38.047697300000003</v>
      </c>
      <c r="F193">
        <v>-75.238225200000002</v>
      </c>
      <c r="G193" t="s">
        <v>418</v>
      </c>
      <c r="H193" t="s">
        <v>419</v>
      </c>
      <c r="I193">
        <v>9.2438356160000001</v>
      </c>
      <c r="J193">
        <v>2.563162846</v>
      </c>
      <c r="K193">
        <v>1.072706758</v>
      </c>
      <c r="L193">
        <v>0.49329807199999998</v>
      </c>
      <c r="M193">
        <f t="shared" si="2"/>
        <v>1.490456088</v>
      </c>
      <c r="N193">
        <v>5.97</v>
      </c>
      <c r="O193">
        <v>4.7300000000000004</v>
      </c>
      <c r="P193">
        <v>2.16</v>
      </c>
      <c r="Q193">
        <v>0.13100000000000001</v>
      </c>
      <c r="R193">
        <v>-6.0999999999999999E-2</v>
      </c>
      <c r="S193">
        <v>3.5000000000000003E-2</v>
      </c>
      <c r="T193">
        <v>0.192</v>
      </c>
      <c r="U193">
        <v>9.6600000000000005E-2</v>
      </c>
      <c r="V193">
        <v>0.179166667</v>
      </c>
      <c r="W193">
        <v>24.31830802</v>
      </c>
      <c r="X193">
        <v>-27.758308020000001</v>
      </c>
      <c r="Y193">
        <v>37.418308019999998</v>
      </c>
      <c r="Z193">
        <v>3.6572932420000002</v>
      </c>
      <c r="AA193">
        <v>5.55</v>
      </c>
      <c r="AB193">
        <v>1.063701912</v>
      </c>
      <c r="AC193">
        <v>18.77</v>
      </c>
      <c r="AD193">
        <v>1120</v>
      </c>
      <c r="AE193">
        <v>8.8348498739999997</v>
      </c>
      <c r="AF193">
        <v>3.154796631</v>
      </c>
      <c r="AG193" t="s">
        <v>417</v>
      </c>
      <c r="AH193">
        <v>1</v>
      </c>
      <c r="AI193">
        <v>1</v>
      </c>
      <c r="AJ193">
        <v>0</v>
      </c>
      <c r="AK193">
        <v>0</v>
      </c>
      <c r="AL193" t="s">
        <v>155</v>
      </c>
      <c r="AM193" t="s">
        <v>146</v>
      </c>
      <c r="AN193">
        <v>-0.19700000000000001</v>
      </c>
      <c r="AO193">
        <v>0.47</v>
      </c>
      <c r="AP193">
        <v>13.05</v>
      </c>
      <c r="AQ193">
        <v>0.36299999999999999</v>
      </c>
      <c r="AR193">
        <v>0</v>
      </c>
      <c r="AS193">
        <v>66.243654820000003</v>
      </c>
    </row>
    <row r="194" spans="1:45" x14ac:dyDescent="0.2">
      <c r="A194" t="s">
        <v>420</v>
      </c>
      <c r="B194" t="s">
        <v>332</v>
      </c>
      <c r="C194" t="s">
        <v>169</v>
      </c>
      <c r="D194" t="s">
        <v>416</v>
      </c>
      <c r="E194">
        <v>38.049264899999997</v>
      </c>
      <c r="F194">
        <v>-75.238530999999995</v>
      </c>
      <c r="G194" t="s">
        <v>418</v>
      </c>
      <c r="H194" t="s">
        <v>419</v>
      </c>
      <c r="I194">
        <v>9.2438356160000001</v>
      </c>
      <c r="J194">
        <v>2.7522488649999999</v>
      </c>
      <c r="K194">
        <v>3.5884858629999998</v>
      </c>
      <c r="L194">
        <v>0.96367465799999996</v>
      </c>
      <c r="M194">
        <f t="shared" si="2"/>
        <v>-0.83623699799999995</v>
      </c>
      <c r="N194">
        <v>5.97</v>
      </c>
      <c r="O194">
        <v>4.7300000000000004</v>
      </c>
      <c r="P194">
        <v>2.16</v>
      </c>
      <c r="Q194">
        <v>0.13100000000000001</v>
      </c>
      <c r="R194">
        <v>-6.0999999999999999E-2</v>
      </c>
      <c r="S194">
        <v>3.5000000000000003E-2</v>
      </c>
      <c r="T194">
        <v>0.192</v>
      </c>
      <c r="U194">
        <v>0.1772</v>
      </c>
      <c r="V194">
        <v>-0.24062500000000001</v>
      </c>
      <c r="W194">
        <v>24.31830802</v>
      </c>
      <c r="X194">
        <v>-19.698308019999999</v>
      </c>
      <c r="Y194">
        <v>37.418308019999998</v>
      </c>
      <c r="Z194">
        <v>1.1415141369999999</v>
      </c>
      <c r="AA194">
        <v>60.31</v>
      </c>
      <c r="AB194">
        <v>0.152528832</v>
      </c>
      <c r="AC194">
        <v>18.77</v>
      </c>
      <c r="AD194">
        <v>1120</v>
      </c>
      <c r="AE194">
        <v>8.8348498739999997</v>
      </c>
      <c r="AF194">
        <v>3.154796631</v>
      </c>
      <c r="AG194" t="s">
        <v>421</v>
      </c>
      <c r="AH194">
        <v>1</v>
      </c>
      <c r="AI194">
        <v>1</v>
      </c>
      <c r="AJ194">
        <v>0</v>
      </c>
      <c r="AK194">
        <v>0</v>
      </c>
      <c r="AL194" t="s">
        <v>155</v>
      </c>
      <c r="AM194" t="s">
        <v>146</v>
      </c>
      <c r="AN194">
        <v>-0.41349999999999998</v>
      </c>
      <c r="AO194">
        <v>0.86680000000000001</v>
      </c>
      <c r="AP194">
        <v>21.842500000000001</v>
      </c>
      <c r="AQ194">
        <v>0.36299999999999999</v>
      </c>
      <c r="AR194">
        <v>0</v>
      </c>
      <c r="AS194">
        <v>52.823458279999997</v>
      </c>
    </row>
    <row r="195" spans="1:45" x14ac:dyDescent="0.2">
      <c r="A195" t="s">
        <v>422</v>
      </c>
      <c r="B195" t="s">
        <v>332</v>
      </c>
      <c r="C195" t="s">
        <v>169</v>
      </c>
      <c r="D195" t="s">
        <v>416</v>
      </c>
      <c r="E195">
        <v>38.049036299999997</v>
      </c>
      <c r="F195">
        <v>-75.237217700000002</v>
      </c>
      <c r="G195" t="s">
        <v>418</v>
      </c>
      <c r="H195" t="s">
        <v>419</v>
      </c>
      <c r="I195">
        <v>9.2438356160000001</v>
      </c>
      <c r="J195">
        <v>3.1356315709999998</v>
      </c>
      <c r="K195">
        <v>-0.17209696499999999</v>
      </c>
      <c r="L195">
        <v>3.3007723000000003E-2</v>
      </c>
      <c r="M195">
        <f t="shared" ref="M195:M258" si="3">+J195-K195</f>
        <v>3.3077285359999999</v>
      </c>
      <c r="N195">
        <v>5.97</v>
      </c>
      <c r="O195">
        <v>4.7300000000000004</v>
      </c>
      <c r="P195">
        <v>2.16</v>
      </c>
      <c r="Q195">
        <v>0.13100000000000001</v>
      </c>
      <c r="R195">
        <v>-6.0999999999999999E-2</v>
      </c>
      <c r="S195">
        <v>3.5000000000000003E-2</v>
      </c>
      <c r="T195">
        <v>0.192</v>
      </c>
      <c r="U195">
        <v>8.8800000000000004E-2</v>
      </c>
      <c r="V195">
        <v>0.219791667</v>
      </c>
      <c r="W195">
        <v>24.31830802</v>
      </c>
      <c r="X195">
        <v>-28.538308019999999</v>
      </c>
      <c r="Y195">
        <v>37.418308019999998</v>
      </c>
      <c r="Z195">
        <v>4.9020969650000001</v>
      </c>
      <c r="AA195">
        <v>52.34</v>
      </c>
      <c r="AB195">
        <v>0.16057975799999999</v>
      </c>
      <c r="AC195">
        <v>18.77</v>
      </c>
      <c r="AD195">
        <v>1120</v>
      </c>
      <c r="AE195">
        <v>8.8348498739999997</v>
      </c>
      <c r="AF195">
        <v>3.154796631</v>
      </c>
      <c r="AG195" t="s">
        <v>423</v>
      </c>
      <c r="AH195">
        <v>0</v>
      </c>
      <c r="AI195">
        <v>1</v>
      </c>
      <c r="AJ195">
        <v>0</v>
      </c>
      <c r="AK195">
        <v>0</v>
      </c>
      <c r="AL195" t="s">
        <v>54</v>
      </c>
      <c r="AM195" t="s">
        <v>146</v>
      </c>
      <c r="AN195">
        <v>-5.5500000000000001E-2</v>
      </c>
      <c r="AO195">
        <v>0.31</v>
      </c>
      <c r="AP195">
        <v>46.4</v>
      </c>
      <c r="AQ195">
        <v>0.36299999999999999</v>
      </c>
      <c r="AR195">
        <v>0</v>
      </c>
      <c r="AS195">
        <v>836.03603599999997</v>
      </c>
    </row>
    <row r="196" spans="1:45" x14ac:dyDescent="0.2">
      <c r="A196" t="s">
        <v>424</v>
      </c>
      <c r="B196" t="s">
        <v>332</v>
      </c>
      <c r="C196" t="s">
        <v>169</v>
      </c>
      <c r="D196" t="s">
        <v>425</v>
      </c>
      <c r="E196">
        <v>38.140624799999998</v>
      </c>
      <c r="F196">
        <v>-75.189741900000001</v>
      </c>
      <c r="G196" t="s">
        <v>410</v>
      </c>
      <c r="H196" t="s">
        <v>419</v>
      </c>
      <c r="I196">
        <v>9.2465753419999999</v>
      </c>
      <c r="J196">
        <v>4.1267106729999998</v>
      </c>
      <c r="K196">
        <v>4.9855096300000001</v>
      </c>
      <c r="L196">
        <v>0.96097299000000003</v>
      </c>
      <c r="M196">
        <f t="shared" si="3"/>
        <v>-0.85879895700000031</v>
      </c>
      <c r="N196">
        <v>5.97</v>
      </c>
      <c r="O196">
        <v>4.7300000000000004</v>
      </c>
      <c r="P196">
        <v>2.16</v>
      </c>
      <c r="Q196">
        <v>0.13400000000000001</v>
      </c>
      <c r="R196">
        <v>-6.9000000000000006E-2</v>
      </c>
      <c r="S196">
        <v>3.2000000000000001E-2</v>
      </c>
      <c r="T196">
        <v>0.20300000000000001</v>
      </c>
      <c r="U196">
        <v>0.14000000000000001</v>
      </c>
      <c r="V196">
        <v>-2.955665E-2</v>
      </c>
      <c r="W196">
        <v>21.69970382</v>
      </c>
      <c r="X196">
        <v>-21.099703819999998</v>
      </c>
      <c r="Y196">
        <v>35.099703820000002</v>
      </c>
      <c r="Z196">
        <v>-0.25550962999999999</v>
      </c>
      <c r="AA196">
        <v>51.86</v>
      </c>
      <c r="AB196">
        <v>0.14000928100000001</v>
      </c>
      <c r="AC196">
        <v>18.77</v>
      </c>
      <c r="AD196">
        <v>1120</v>
      </c>
      <c r="AE196">
        <v>10.392824170000001</v>
      </c>
      <c r="AF196">
        <v>3.6872933510000001</v>
      </c>
      <c r="AG196" t="s">
        <v>413</v>
      </c>
      <c r="AH196">
        <v>1</v>
      </c>
      <c r="AI196">
        <v>1</v>
      </c>
      <c r="AJ196">
        <v>0</v>
      </c>
      <c r="AK196">
        <v>0</v>
      </c>
      <c r="AL196" t="s">
        <v>155</v>
      </c>
      <c r="AM196" t="s">
        <v>146</v>
      </c>
      <c r="AN196">
        <v>-0.316</v>
      </c>
      <c r="AO196">
        <v>0.97</v>
      </c>
      <c r="AP196">
        <v>15.425000000000001</v>
      </c>
      <c r="AQ196">
        <v>0.44800000000000001</v>
      </c>
      <c r="AR196">
        <v>0</v>
      </c>
      <c r="AS196">
        <v>48.813291139999997</v>
      </c>
    </row>
    <row r="197" spans="1:45" x14ac:dyDescent="0.2">
      <c r="A197" t="s">
        <v>426</v>
      </c>
      <c r="B197" t="s">
        <v>332</v>
      </c>
      <c r="C197" t="s">
        <v>169</v>
      </c>
      <c r="D197" t="s">
        <v>425</v>
      </c>
      <c r="E197">
        <v>38.140652600000003</v>
      </c>
      <c r="F197">
        <v>-75.189922800000005</v>
      </c>
      <c r="G197" t="s">
        <v>410</v>
      </c>
      <c r="H197" t="s">
        <v>419</v>
      </c>
      <c r="I197">
        <v>9.2465753419999999</v>
      </c>
      <c r="J197">
        <v>4.6408745949999997</v>
      </c>
      <c r="K197">
        <v>5.6355739969999998</v>
      </c>
      <c r="L197">
        <v>0.979314036</v>
      </c>
      <c r="M197">
        <f t="shared" si="3"/>
        <v>-0.99469940200000018</v>
      </c>
      <c r="N197">
        <v>5.97</v>
      </c>
      <c r="O197">
        <v>4.7300000000000004</v>
      </c>
      <c r="P197">
        <v>2.16</v>
      </c>
      <c r="Q197">
        <v>0.13400000000000001</v>
      </c>
      <c r="R197">
        <v>-6.9000000000000006E-2</v>
      </c>
      <c r="S197">
        <v>3.2000000000000001E-2</v>
      </c>
      <c r="T197">
        <v>0.20300000000000001</v>
      </c>
      <c r="U197">
        <v>0.17150000000000001</v>
      </c>
      <c r="V197">
        <v>-0.184729064</v>
      </c>
      <c r="W197">
        <v>21.69970382</v>
      </c>
      <c r="X197">
        <v>-17.94970382</v>
      </c>
      <c r="Y197">
        <v>35.099703820000002</v>
      </c>
      <c r="Z197">
        <v>-0.90557399699999996</v>
      </c>
      <c r="AA197">
        <v>48.85</v>
      </c>
      <c r="AB197">
        <v>0.16721926100000001</v>
      </c>
      <c r="AC197">
        <v>18.77</v>
      </c>
      <c r="AD197">
        <v>1120</v>
      </c>
      <c r="AE197">
        <v>10.392824170000001</v>
      </c>
      <c r="AF197">
        <v>3.6872933510000001</v>
      </c>
      <c r="AG197" t="s">
        <v>341</v>
      </c>
      <c r="AH197">
        <v>1</v>
      </c>
      <c r="AI197">
        <v>0</v>
      </c>
      <c r="AJ197">
        <v>0</v>
      </c>
      <c r="AK197">
        <v>0</v>
      </c>
      <c r="AL197" t="s">
        <v>155</v>
      </c>
      <c r="AM197" t="s">
        <v>146</v>
      </c>
      <c r="AN197">
        <v>-6.0299999999999999E-2</v>
      </c>
      <c r="AO197">
        <v>0.23</v>
      </c>
      <c r="AP197">
        <v>8.2433333330000007</v>
      </c>
      <c r="AQ197">
        <v>0.44800000000000001</v>
      </c>
      <c r="AR197">
        <v>0</v>
      </c>
      <c r="AS197">
        <v>136.7053621</v>
      </c>
    </row>
    <row r="198" spans="1:45" x14ac:dyDescent="0.2">
      <c r="A198" t="s">
        <v>427</v>
      </c>
      <c r="B198" t="s">
        <v>332</v>
      </c>
      <c r="C198" t="s">
        <v>169</v>
      </c>
      <c r="D198" t="s">
        <v>425</v>
      </c>
      <c r="E198">
        <v>38.140838100000003</v>
      </c>
      <c r="F198">
        <v>-75.189768799999996</v>
      </c>
      <c r="G198" t="s">
        <v>410</v>
      </c>
      <c r="H198" t="s">
        <v>419</v>
      </c>
      <c r="I198">
        <v>9.2465753419999999</v>
      </c>
      <c r="J198">
        <v>2.1426552860000001</v>
      </c>
      <c r="K198">
        <v>2.1857729300000002</v>
      </c>
      <c r="L198">
        <v>0.73783403700000005</v>
      </c>
      <c r="M198">
        <f t="shared" si="3"/>
        <v>-4.3117644000000066E-2</v>
      </c>
      <c r="N198">
        <v>5.97</v>
      </c>
      <c r="O198">
        <v>4.7300000000000004</v>
      </c>
      <c r="P198">
        <v>2.16</v>
      </c>
      <c r="Q198">
        <v>0.13400000000000001</v>
      </c>
      <c r="R198">
        <v>-6.9000000000000006E-2</v>
      </c>
      <c r="S198">
        <v>3.2000000000000001E-2</v>
      </c>
      <c r="T198">
        <v>0.20300000000000001</v>
      </c>
      <c r="U198">
        <v>9.1899999999999996E-2</v>
      </c>
      <c r="V198">
        <v>0.20738916299999999</v>
      </c>
      <c r="W198">
        <v>21.69970382</v>
      </c>
      <c r="X198">
        <v>-25.909703820000001</v>
      </c>
      <c r="Y198">
        <v>35.099703820000002</v>
      </c>
      <c r="Z198">
        <v>2.5442270699999998</v>
      </c>
      <c r="AA198">
        <v>49.82</v>
      </c>
      <c r="AB198">
        <v>0.17563141199999999</v>
      </c>
      <c r="AC198">
        <v>18.77</v>
      </c>
      <c r="AD198">
        <v>1120</v>
      </c>
      <c r="AE198">
        <v>10.392824170000001</v>
      </c>
      <c r="AF198">
        <v>3.6872933510000001</v>
      </c>
      <c r="AG198" t="s">
        <v>428</v>
      </c>
      <c r="AH198">
        <v>1</v>
      </c>
      <c r="AI198">
        <v>1</v>
      </c>
      <c r="AJ198">
        <v>0</v>
      </c>
      <c r="AK198">
        <v>0</v>
      </c>
      <c r="AL198" t="s">
        <v>155</v>
      </c>
      <c r="AM198" t="s">
        <v>146</v>
      </c>
      <c r="AN198">
        <v>-1.09E-2</v>
      </c>
      <c r="AO198">
        <v>2.8E-3</v>
      </c>
      <c r="AP198">
        <v>11.025</v>
      </c>
      <c r="AQ198">
        <v>0.44800000000000001</v>
      </c>
      <c r="AR198">
        <v>0</v>
      </c>
      <c r="AS198">
        <v>1011.46789</v>
      </c>
    </row>
    <row r="199" spans="1:45" x14ac:dyDescent="0.2">
      <c r="A199" t="s">
        <v>429</v>
      </c>
      <c r="B199" t="s">
        <v>332</v>
      </c>
      <c r="C199" t="s">
        <v>169</v>
      </c>
      <c r="D199" t="s">
        <v>430</v>
      </c>
      <c r="E199">
        <v>38.088156699999999</v>
      </c>
      <c r="F199">
        <v>-75.221095300000002</v>
      </c>
      <c r="G199" t="s">
        <v>418</v>
      </c>
      <c r="H199" t="s">
        <v>411</v>
      </c>
      <c r="I199">
        <v>9.2410958900000004</v>
      </c>
      <c r="J199">
        <v>4.9731502519999999</v>
      </c>
      <c r="K199">
        <v>5.6234348299999999</v>
      </c>
      <c r="L199">
        <v>0.93460019000000005</v>
      </c>
      <c r="M199">
        <f t="shared" si="3"/>
        <v>-0.65028457799999995</v>
      </c>
      <c r="N199">
        <v>5.97</v>
      </c>
      <c r="O199">
        <v>4.7300000000000004</v>
      </c>
      <c r="P199">
        <v>2.16</v>
      </c>
      <c r="Q199">
        <v>0.114</v>
      </c>
      <c r="R199">
        <v>-7.5999999999999998E-2</v>
      </c>
      <c r="S199">
        <v>1.9E-2</v>
      </c>
      <c r="T199">
        <v>0.19</v>
      </c>
      <c r="U199">
        <v>0.2026</v>
      </c>
      <c r="V199">
        <v>-0.46631578899999998</v>
      </c>
      <c r="W199">
        <v>24.810497770000001</v>
      </c>
      <c r="X199">
        <v>-15.95049777</v>
      </c>
      <c r="Y199">
        <v>36.210497770000003</v>
      </c>
      <c r="Z199">
        <v>-0.89343483000000001</v>
      </c>
      <c r="AA199">
        <v>41.32</v>
      </c>
      <c r="AB199">
        <v>0.23132182800000001</v>
      </c>
      <c r="AC199">
        <v>18.77</v>
      </c>
      <c r="AD199">
        <v>1120</v>
      </c>
      <c r="AE199">
        <v>14.21724772</v>
      </c>
      <c r="AF199">
        <v>4.3071484480000004</v>
      </c>
      <c r="AG199" t="s">
        <v>341</v>
      </c>
      <c r="AH199">
        <v>1</v>
      </c>
      <c r="AI199">
        <v>0</v>
      </c>
      <c r="AJ199">
        <v>0</v>
      </c>
      <c r="AK199">
        <v>0</v>
      </c>
      <c r="AL199" t="s">
        <v>155</v>
      </c>
      <c r="AM199" t="s">
        <v>146</v>
      </c>
      <c r="AN199">
        <v>-0.45900000000000002</v>
      </c>
      <c r="AO199">
        <v>0.63</v>
      </c>
      <c r="AP199">
        <v>49.77</v>
      </c>
      <c r="AQ199">
        <v>0.29499999999999998</v>
      </c>
      <c r="AR199">
        <v>0</v>
      </c>
      <c r="AS199">
        <v>108.43137249999999</v>
      </c>
    </row>
    <row r="200" spans="1:45" x14ac:dyDescent="0.2">
      <c r="A200" t="s">
        <v>431</v>
      </c>
      <c r="B200" t="s">
        <v>332</v>
      </c>
      <c r="C200" t="s">
        <v>169</v>
      </c>
      <c r="D200" t="s">
        <v>430</v>
      </c>
      <c r="E200">
        <v>38.088426900000002</v>
      </c>
      <c r="F200">
        <v>-75.2214958</v>
      </c>
      <c r="G200" t="s">
        <v>418</v>
      </c>
      <c r="H200" t="s">
        <v>411</v>
      </c>
      <c r="I200">
        <v>9.2410958900000004</v>
      </c>
      <c r="J200">
        <v>5.5234279620000004</v>
      </c>
      <c r="K200">
        <v>6.925306183</v>
      </c>
      <c r="L200">
        <v>0.88217969900000004</v>
      </c>
      <c r="M200">
        <f t="shared" si="3"/>
        <v>-1.4018782209999996</v>
      </c>
      <c r="N200">
        <v>5.97</v>
      </c>
      <c r="O200">
        <v>4.7300000000000004</v>
      </c>
      <c r="P200">
        <v>2.16</v>
      </c>
      <c r="Q200">
        <v>0.114</v>
      </c>
      <c r="R200">
        <v>-7.5999999999999998E-2</v>
      </c>
      <c r="S200">
        <v>1.9E-2</v>
      </c>
      <c r="T200">
        <v>0.19</v>
      </c>
      <c r="U200">
        <v>0.16389999999999999</v>
      </c>
      <c r="V200">
        <v>-0.262631579</v>
      </c>
      <c r="W200">
        <v>24.810497770000001</v>
      </c>
      <c r="X200">
        <v>-19.820497769999999</v>
      </c>
      <c r="Y200">
        <v>36.210497770000003</v>
      </c>
      <c r="Z200">
        <v>-2.195306183</v>
      </c>
      <c r="AA200">
        <v>69.17</v>
      </c>
      <c r="AB200">
        <v>0.219982868</v>
      </c>
      <c r="AC200">
        <v>18.77</v>
      </c>
      <c r="AD200">
        <v>1120</v>
      </c>
      <c r="AE200">
        <v>14.21724772</v>
      </c>
      <c r="AF200">
        <v>4.3071484480000004</v>
      </c>
      <c r="AG200" t="s">
        <v>432</v>
      </c>
      <c r="AH200">
        <v>1</v>
      </c>
      <c r="AI200">
        <v>1</v>
      </c>
      <c r="AJ200">
        <v>0</v>
      </c>
      <c r="AK200">
        <v>0</v>
      </c>
      <c r="AL200" t="s">
        <v>155</v>
      </c>
      <c r="AM200" t="s">
        <v>146</v>
      </c>
      <c r="AN200">
        <v>-1.0998000000000001</v>
      </c>
      <c r="AO200">
        <v>0.78</v>
      </c>
      <c r="AP200">
        <v>15.5825</v>
      </c>
      <c r="AQ200">
        <v>0.29499999999999998</v>
      </c>
      <c r="AR200">
        <v>207</v>
      </c>
      <c r="AS200">
        <v>14.168485179999999</v>
      </c>
    </row>
    <row r="201" spans="1:45" x14ac:dyDescent="0.2">
      <c r="A201" t="s">
        <v>433</v>
      </c>
      <c r="B201" t="s">
        <v>332</v>
      </c>
      <c r="C201" t="s">
        <v>169</v>
      </c>
      <c r="D201" t="s">
        <v>430</v>
      </c>
      <c r="E201">
        <v>38.088704</v>
      </c>
      <c r="F201">
        <v>-75.221826899999996</v>
      </c>
      <c r="G201" t="s">
        <v>418</v>
      </c>
      <c r="H201" t="s">
        <v>411</v>
      </c>
      <c r="I201">
        <v>9.2410958900000004</v>
      </c>
      <c r="J201">
        <v>4.2083990130000002</v>
      </c>
      <c r="K201">
        <v>5.5028904450000002</v>
      </c>
      <c r="L201">
        <v>0.94891389400000004</v>
      </c>
      <c r="M201">
        <f t="shared" si="3"/>
        <v>-1.2944914320000001</v>
      </c>
      <c r="N201">
        <v>5.97</v>
      </c>
      <c r="O201">
        <v>4.7300000000000004</v>
      </c>
      <c r="P201">
        <v>2.16</v>
      </c>
      <c r="Q201">
        <v>0.114</v>
      </c>
      <c r="R201">
        <v>-7.5999999999999998E-2</v>
      </c>
      <c r="S201">
        <v>1.9E-2</v>
      </c>
      <c r="T201">
        <v>0.19</v>
      </c>
      <c r="U201">
        <v>0.1384</v>
      </c>
      <c r="V201">
        <v>-0.12842105300000001</v>
      </c>
      <c r="W201">
        <v>24.810497770000001</v>
      </c>
      <c r="X201">
        <v>-22.37049777</v>
      </c>
      <c r="Y201">
        <v>36.210497770000003</v>
      </c>
      <c r="Z201">
        <v>-0.77289044500000004</v>
      </c>
      <c r="AA201">
        <v>32.14</v>
      </c>
      <c r="AB201">
        <v>0.220405766</v>
      </c>
      <c r="AC201">
        <v>18.77</v>
      </c>
      <c r="AD201">
        <v>1120</v>
      </c>
      <c r="AE201">
        <v>14.21724772</v>
      </c>
      <c r="AF201">
        <v>4.3071484480000004</v>
      </c>
      <c r="AG201" t="s">
        <v>432</v>
      </c>
      <c r="AH201">
        <v>1</v>
      </c>
      <c r="AI201">
        <v>1</v>
      </c>
      <c r="AJ201">
        <v>0</v>
      </c>
      <c r="AK201">
        <v>0</v>
      </c>
      <c r="AL201" t="s">
        <v>155</v>
      </c>
      <c r="AM201" t="s">
        <v>146</v>
      </c>
      <c r="AN201">
        <v>-0.47789999999999999</v>
      </c>
      <c r="AO201">
        <v>0.79</v>
      </c>
      <c r="AP201">
        <v>64.977500000000006</v>
      </c>
      <c r="AQ201">
        <v>0.29499999999999998</v>
      </c>
      <c r="AR201">
        <v>0</v>
      </c>
      <c r="AS201">
        <v>135.96463700000001</v>
      </c>
    </row>
    <row r="202" spans="1:45" x14ac:dyDescent="0.2">
      <c r="A202" t="s">
        <v>434</v>
      </c>
      <c r="B202" t="s">
        <v>332</v>
      </c>
      <c r="C202" t="s">
        <v>169</v>
      </c>
      <c r="D202" t="s">
        <v>435</v>
      </c>
      <c r="E202">
        <v>40.6206897</v>
      </c>
      <c r="F202">
        <v>-73.833489</v>
      </c>
      <c r="G202" t="s">
        <v>436</v>
      </c>
      <c r="H202" s="1">
        <v>42865</v>
      </c>
      <c r="I202">
        <v>15.115068490000001</v>
      </c>
      <c r="J202">
        <v>4.8526234539999997</v>
      </c>
      <c r="K202">
        <v>4.0334641339999999</v>
      </c>
      <c r="L202">
        <v>0.95660787199999997</v>
      </c>
      <c r="M202">
        <f t="shared" si="3"/>
        <v>0.8191593199999998</v>
      </c>
      <c r="N202">
        <v>4.12</v>
      </c>
      <c r="O202">
        <v>4.6399999999999997</v>
      </c>
      <c r="P202">
        <v>1.36</v>
      </c>
      <c r="Q202">
        <v>0.81299999999999994</v>
      </c>
      <c r="R202">
        <v>-0.77</v>
      </c>
      <c r="S202">
        <v>6.8000000000000005E-2</v>
      </c>
      <c r="T202">
        <v>1.583</v>
      </c>
      <c r="U202">
        <v>0.48609999999999998</v>
      </c>
      <c r="V202">
        <v>0.206506633</v>
      </c>
      <c r="W202">
        <v>-74.839819419999998</v>
      </c>
      <c r="X202">
        <v>42.14981942</v>
      </c>
      <c r="Y202">
        <v>6.4601805839999997</v>
      </c>
      <c r="Z202">
        <v>0.60653586599999998</v>
      </c>
      <c r="AA202" t="s">
        <v>68</v>
      </c>
      <c r="AB202" t="s">
        <v>68</v>
      </c>
      <c r="AC202">
        <v>16.89</v>
      </c>
      <c r="AD202">
        <v>1183.5999999999999</v>
      </c>
      <c r="AE202">
        <v>2.2934367560000002</v>
      </c>
      <c r="AF202">
        <v>0.99154851799999999</v>
      </c>
      <c r="AG202" t="s">
        <v>341</v>
      </c>
      <c r="AH202">
        <v>1</v>
      </c>
      <c r="AI202">
        <v>0</v>
      </c>
      <c r="AJ202">
        <v>0</v>
      </c>
      <c r="AK202">
        <v>0</v>
      </c>
      <c r="AL202" t="s">
        <v>155</v>
      </c>
      <c r="AM202" t="s">
        <v>146</v>
      </c>
      <c r="AN202">
        <v>-0.37269999999999998</v>
      </c>
      <c r="AO202">
        <v>0.56999999999999995</v>
      </c>
      <c r="AP202">
        <v>24.22</v>
      </c>
      <c r="AQ202">
        <v>0.28000000000000003</v>
      </c>
      <c r="AR202">
        <v>4871</v>
      </c>
      <c r="AS202">
        <v>64.985242819999996</v>
      </c>
    </row>
    <row r="203" spans="1:45" x14ac:dyDescent="0.2">
      <c r="A203" t="s">
        <v>437</v>
      </c>
      <c r="B203" t="s">
        <v>332</v>
      </c>
      <c r="C203" t="s">
        <v>169</v>
      </c>
      <c r="D203" t="s">
        <v>435</v>
      </c>
      <c r="E203">
        <v>40.6206137</v>
      </c>
      <c r="F203">
        <v>-73.833450900000003</v>
      </c>
      <c r="G203" t="s">
        <v>436</v>
      </c>
      <c r="H203" s="1">
        <v>43383</v>
      </c>
      <c r="I203">
        <v>16.128767119999999</v>
      </c>
      <c r="J203">
        <v>5.0018150830000003</v>
      </c>
      <c r="K203">
        <v>4.433680732</v>
      </c>
      <c r="L203">
        <v>0.98477320999999995</v>
      </c>
      <c r="M203">
        <f t="shared" si="3"/>
        <v>0.56813435100000031</v>
      </c>
      <c r="N203">
        <v>4.12</v>
      </c>
      <c r="O203">
        <v>4.6399999999999997</v>
      </c>
      <c r="P203">
        <v>1.36</v>
      </c>
      <c r="Q203">
        <v>0.81299999999999994</v>
      </c>
      <c r="R203">
        <v>-0.77</v>
      </c>
      <c r="S203">
        <v>6.8000000000000005E-2</v>
      </c>
      <c r="T203">
        <v>1.583</v>
      </c>
      <c r="U203">
        <v>0.54269999999999996</v>
      </c>
      <c r="V203">
        <v>0.17075173699999999</v>
      </c>
      <c r="W203">
        <v>-74.839819419999998</v>
      </c>
      <c r="X203">
        <v>47.809819419999997</v>
      </c>
      <c r="Y203">
        <v>6.4601805839999997</v>
      </c>
      <c r="Z203">
        <v>0.206319268</v>
      </c>
      <c r="AA203" t="s">
        <v>68</v>
      </c>
      <c r="AB203" t="s">
        <v>68</v>
      </c>
      <c r="AC203">
        <v>16.89</v>
      </c>
      <c r="AD203">
        <v>1183.5999999999999</v>
      </c>
      <c r="AE203">
        <v>2.2615413019999999</v>
      </c>
      <c r="AF203">
        <v>2.0731491110000002</v>
      </c>
      <c r="AG203" t="s">
        <v>341</v>
      </c>
      <c r="AH203">
        <v>1</v>
      </c>
      <c r="AI203">
        <v>0</v>
      </c>
      <c r="AJ203">
        <v>0</v>
      </c>
      <c r="AK203">
        <v>0</v>
      </c>
      <c r="AL203" t="s">
        <v>155</v>
      </c>
      <c r="AM203" t="s">
        <v>146</v>
      </c>
      <c r="AN203">
        <v>-1.012</v>
      </c>
      <c r="AO203">
        <v>0.95</v>
      </c>
      <c r="AP203">
        <v>37.712499999999999</v>
      </c>
      <c r="AQ203">
        <v>0.28000000000000003</v>
      </c>
      <c r="AR203">
        <v>1000</v>
      </c>
      <c r="AS203">
        <v>37.265316210000002</v>
      </c>
    </row>
    <row r="204" spans="1:45" x14ac:dyDescent="0.2">
      <c r="A204" t="s">
        <v>438</v>
      </c>
      <c r="B204" t="s">
        <v>332</v>
      </c>
      <c r="C204" t="s">
        <v>169</v>
      </c>
      <c r="D204" t="s">
        <v>435</v>
      </c>
      <c r="E204">
        <v>40.620754499999997</v>
      </c>
      <c r="F204">
        <v>-73.833191299999996</v>
      </c>
      <c r="G204" t="s">
        <v>436</v>
      </c>
      <c r="H204" s="1">
        <v>43353</v>
      </c>
      <c r="I204">
        <v>16.126027400000002</v>
      </c>
      <c r="J204">
        <v>5.367212715</v>
      </c>
      <c r="K204">
        <v>5.6701081179999999</v>
      </c>
      <c r="L204">
        <v>0.98158804700000002</v>
      </c>
      <c r="M204">
        <f t="shared" si="3"/>
        <v>-0.30289540299999995</v>
      </c>
      <c r="N204">
        <v>4.12</v>
      </c>
      <c r="O204">
        <v>4.6399999999999997</v>
      </c>
      <c r="P204">
        <v>1.36</v>
      </c>
      <c r="Q204">
        <v>0.81299999999999994</v>
      </c>
      <c r="R204">
        <v>-0.77</v>
      </c>
      <c r="S204">
        <v>6.8000000000000005E-2</v>
      </c>
      <c r="T204">
        <v>1.583</v>
      </c>
      <c r="U204">
        <v>0.5071</v>
      </c>
      <c r="V204">
        <v>0.193240682</v>
      </c>
      <c r="W204">
        <v>-74.839819419999998</v>
      </c>
      <c r="X204">
        <v>44.249819420000001</v>
      </c>
      <c r="Y204">
        <v>6.4601805839999997</v>
      </c>
      <c r="Z204">
        <v>-1.030108118</v>
      </c>
      <c r="AA204" t="s">
        <v>68</v>
      </c>
      <c r="AB204" t="s">
        <v>68</v>
      </c>
      <c r="AC204">
        <v>16.89</v>
      </c>
      <c r="AD204">
        <v>1183.5999999999999</v>
      </c>
      <c r="AE204">
        <v>2.2175062670000001</v>
      </c>
      <c r="AF204">
        <v>1.9647417620000001</v>
      </c>
      <c r="AG204" t="s">
        <v>341</v>
      </c>
      <c r="AH204">
        <v>1</v>
      </c>
      <c r="AI204">
        <v>0</v>
      </c>
      <c r="AJ204">
        <v>0</v>
      </c>
      <c r="AK204">
        <v>0</v>
      </c>
      <c r="AL204" t="s">
        <v>155</v>
      </c>
      <c r="AM204" t="s">
        <v>146</v>
      </c>
      <c r="AN204">
        <v>-0.61799999999999999</v>
      </c>
      <c r="AO204">
        <v>0.96</v>
      </c>
      <c r="AP204">
        <v>45.8</v>
      </c>
      <c r="AQ204">
        <v>0.28000000000000003</v>
      </c>
      <c r="AR204">
        <v>1000</v>
      </c>
      <c r="AS204">
        <v>74.110032360000005</v>
      </c>
    </row>
    <row r="205" spans="1:45" x14ac:dyDescent="0.2">
      <c r="A205" t="s">
        <v>439</v>
      </c>
      <c r="B205" t="s">
        <v>332</v>
      </c>
      <c r="C205" t="s">
        <v>169</v>
      </c>
      <c r="D205" t="s">
        <v>440</v>
      </c>
      <c r="E205">
        <v>40.758631899999997</v>
      </c>
      <c r="F205">
        <v>-72.786131499999996</v>
      </c>
      <c r="G205" t="s">
        <v>442</v>
      </c>
      <c r="H205" s="1">
        <v>43169</v>
      </c>
      <c r="I205">
        <v>16.14794521</v>
      </c>
      <c r="J205">
        <v>1.894766223</v>
      </c>
      <c r="K205">
        <v>-3.4616068649999998</v>
      </c>
      <c r="L205">
        <v>0.95330147200000004</v>
      </c>
      <c r="M205">
        <f t="shared" si="3"/>
        <v>5.3563730879999998</v>
      </c>
      <c r="N205">
        <v>4.12</v>
      </c>
      <c r="O205">
        <v>4.6399999999999997</v>
      </c>
      <c r="P205">
        <v>1.36</v>
      </c>
      <c r="Q205">
        <v>0.373</v>
      </c>
      <c r="R205">
        <v>-0.20300000000000001</v>
      </c>
      <c r="S205">
        <v>7.8E-2</v>
      </c>
      <c r="T205">
        <v>0.57599999999999996</v>
      </c>
      <c r="U205">
        <v>-1.1299999999999999E-2</v>
      </c>
      <c r="V205">
        <v>0.66718750000000004</v>
      </c>
      <c r="W205">
        <v>-27.320525379999999</v>
      </c>
      <c r="X205">
        <v>-11.10947462</v>
      </c>
      <c r="Y205">
        <v>9.9794746189999994</v>
      </c>
      <c r="Z205">
        <v>8.1016068650000008</v>
      </c>
      <c r="AA205">
        <v>20.84</v>
      </c>
      <c r="AB205">
        <v>0.26475722200000001</v>
      </c>
      <c r="AC205">
        <v>16.89</v>
      </c>
      <c r="AD205">
        <v>1183.5999999999999</v>
      </c>
      <c r="AE205">
        <v>3.7239942949999998</v>
      </c>
      <c r="AF205">
        <v>1.885581306</v>
      </c>
      <c r="AG205" t="s">
        <v>441</v>
      </c>
      <c r="AH205">
        <v>1</v>
      </c>
      <c r="AI205">
        <v>0</v>
      </c>
      <c r="AJ205">
        <v>0</v>
      </c>
      <c r="AK205">
        <v>0</v>
      </c>
      <c r="AL205" t="s">
        <v>155</v>
      </c>
      <c r="AM205" t="s">
        <v>146</v>
      </c>
      <c r="AN205">
        <v>3.3000000000000002E-2</v>
      </c>
      <c r="AO205">
        <v>0.15</v>
      </c>
      <c r="AP205">
        <v>49.634999999999998</v>
      </c>
      <c r="AQ205">
        <v>0.05</v>
      </c>
      <c r="AR205">
        <v>0</v>
      </c>
      <c r="AS205">
        <v>1000</v>
      </c>
    </row>
    <row r="206" spans="1:45" x14ac:dyDescent="0.2">
      <c r="A206" t="s">
        <v>443</v>
      </c>
      <c r="B206" t="s">
        <v>332</v>
      </c>
      <c r="C206" t="s">
        <v>169</v>
      </c>
      <c r="D206" t="s">
        <v>440</v>
      </c>
      <c r="E206">
        <v>40.758763899999998</v>
      </c>
      <c r="F206">
        <v>-72.786229700000007</v>
      </c>
      <c r="G206" t="s">
        <v>442</v>
      </c>
      <c r="H206" s="1">
        <v>43169</v>
      </c>
      <c r="I206">
        <v>16.14794521</v>
      </c>
      <c r="J206">
        <v>1.699284048</v>
      </c>
      <c r="K206">
        <v>-0.47795202399999998</v>
      </c>
      <c r="L206">
        <v>0.30838124700000002</v>
      </c>
      <c r="M206">
        <f t="shared" si="3"/>
        <v>2.1772360719999999</v>
      </c>
      <c r="N206">
        <v>4.12</v>
      </c>
      <c r="O206">
        <v>4.6399999999999997</v>
      </c>
      <c r="P206">
        <v>1.36</v>
      </c>
      <c r="Q206">
        <v>0.373</v>
      </c>
      <c r="R206">
        <v>-0.20300000000000001</v>
      </c>
      <c r="S206">
        <v>7.8E-2</v>
      </c>
      <c r="T206">
        <v>0.57599999999999996</v>
      </c>
      <c r="U206">
        <v>0.10199999999999999</v>
      </c>
      <c r="V206">
        <v>0.47048611099999998</v>
      </c>
      <c r="W206">
        <v>-27.320525379999999</v>
      </c>
      <c r="X206">
        <v>0.22052538099999999</v>
      </c>
      <c r="Y206">
        <v>9.9794746189999994</v>
      </c>
      <c r="Z206">
        <v>5.117952024</v>
      </c>
      <c r="AA206">
        <v>26.84</v>
      </c>
      <c r="AB206">
        <v>0.30074938800000001</v>
      </c>
      <c r="AC206">
        <v>16.89</v>
      </c>
      <c r="AD206">
        <v>1183.5999999999999</v>
      </c>
      <c r="AE206">
        <v>3.7239942949999998</v>
      </c>
      <c r="AF206">
        <v>1.885581306</v>
      </c>
      <c r="AG206" t="s">
        <v>444</v>
      </c>
      <c r="AH206">
        <v>1</v>
      </c>
      <c r="AI206">
        <v>0</v>
      </c>
      <c r="AJ206">
        <v>0</v>
      </c>
      <c r="AK206">
        <v>0</v>
      </c>
      <c r="AL206" t="s">
        <v>155</v>
      </c>
      <c r="AM206" t="s">
        <v>146</v>
      </c>
      <c r="AN206">
        <v>-2.06E-2</v>
      </c>
      <c r="AO206">
        <v>7.0000000000000007E-2</v>
      </c>
      <c r="AP206">
        <v>43.51</v>
      </c>
      <c r="AQ206">
        <v>0.05</v>
      </c>
      <c r="AR206">
        <v>0</v>
      </c>
      <c r="AS206">
        <v>2112.1359219999999</v>
      </c>
    </row>
    <row r="207" spans="1:45" x14ac:dyDescent="0.2">
      <c r="A207" t="s">
        <v>445</v>
      </c>
      <c r="B207" t="s">
        <v>332</v>
      </c>
      <c r="C207" t="s">
        <v>169</v>
      </c>
      <c r="D207" t="s">
        <v>440</v>
      </c>
      <c r="E207">
        <v>40.759001499999997</v>
      </c>
      <c r="F207">
        <v>-72.786454699999993</v>
      </c>
      <c r="G207" t="s">
        <v>442</v>
      </c>
      <c r="H207" s="1">
        <v>43169</v>
      </c>
      <c r="I207">
        <v>16.14794521</v>
      </c>
      <c r="J207">
        <v>2.6068737030000002</v>
      </c>
      <c r="K207">
        <v>3.089538407</v>
      </c>
      <c r="L207">
        <v>0.97303943900000001</v>
      </c>
      <c r="M207">
        <f t="shared" si="3"/>
        <v>-0.48266470399999983</v>
      </c>
      <c r="N207">
        <v>4.12</v>
      </c>
      <c r="O207">
        <v>4.6399999999999997</v>
      </c>
      <c r="P207">
        <v>1.36</v>
      </c>
      <c r="Q207">
        <v>0.373</v>
      </c>
      <c r="R207">
        <v>-0.20300000000000001</v>
      </c>
      <c r="S207">
        <v>7.8E-2</v>
      </c>
      <c r="T207">
        <v>0.57599999999999996</v>
      </c>
      <c r="U207">
        <v>0.2364</v>
      </c>
      <c r="V207">
        <v>0.23715277800000001</v>
      </c>
      <c r="W207">
        <v>-27.320525379999999</v>
      </c>
      <c r="X207">
        <v>13.660525379999999</v>
      </c>
      <c r="Y207">
        <v>9.9794746189999994</v>
      </c>
      <c r="Z207">
        <v>1.5504615930000001</v>
      </c>
      <c r="AA207">
        <v>41.66</v>
      </c>
      <c r="AB207">
        <v>0.21490103999999999</v>
      </c>
      <c r="AC207">
        <v>16.89</v>
      </c>
      <c r="AD207">
        <v>1183.5999999999999</v>
      </c>
      <c r="AE207">
        <v>3.7239942949999998</v>
      </c>
      <c r="AF207">
        <v>1.885581306</v>
      </c>
      <c r="AG207" t="s">
        <v>446</v>
      </c>
      <c r="AH207">
        <v>1</v>
      </c>
      <c r="AI207">
        <v>0</v>
      </c>
      <c r="AJ207">
        <v>0</v>
      </c>
      <c r="AK207">
        <v>0</v>
      </c>
      <c r="AL207" t="s">
        <v>155</v>
      </c>
      <c r="AM207" t="s">
        <v>146</v>
      </c>
      <c r="AN207">
        <v>1.32E-2</v>
      </c>
      <c r="AO207">
        <v>0.13300000000000001</v>
      </c>
      <c r="AP207">
        <v>33.674999999999997</v>
      </c>
      <c r="AQ207">
        <v>0.05</v>
      </c>
      <c r="AR207">
        <v>133</v>
      </c>
      <c r="AS207">
        <v>1000</v>
      </c>
    </row>
    <row r="208" spans="1:45" x14ac:dyDescent="0.2">
      <c r="A208" t="s">
        <v>447</v>
      </c>
      <c r="B208" t="s">
        <v>332</v>
      </c>
      <c r="C208" t="s">
        <v>169</v>
      </c>
      <c r="D208" t="s">
        <v>448</v>
      </c>
      <c r="E208">
        <v>40.7300763</v>
      </c>
      <c r="F208">
        <v>-72.892193800000001</v>
      </c>
      <c r="G208" t="s">
        <v>449</v>
      </c>
      <c r="H208" s="1">
        <v>43169</v>
      </c>
      <c r="I208">
        <v>16.145205480000001</v>
      </c>
      <c r="J208">
        <v>2.6715363669999999</v>
      </c>
      <c r="K208">
        <v>3.6177385659999999</v>
      </c>
      <c r="L208">
        <v>0.95682804700000001</v>
      </c>
      <c r="M208">
        <f t="shared" si="3"/>
        <v>-0.94620219900000002</v>
      </c>
      <c r="N208">
        <v>4.12</v>
      </c>
      <c r="O208">
        <v>4.6399999999999997</v>
      </c>
      <c r="P208">
        <v>1.36</v>
      </c>
      <c r="Q208">
        <v>0.33100000000000002</v>
      </c>
      <c r="R208">
        <v>-7.4999999999999997E-2</v>
      </c>
      <c r="S208">
        <v>0.14399999999999999</v>
      </c>
      <c r="T208">
        <v>0.40600000000000003</v>
      </c>
      <c r="U208">
        <v>0.28639999999999999</v>
      </c>
      <c r="V208">
        <v>0.109852217</v>
      </c>
      <c r="W208">
        <v>-10.880772609999999</v>
      </c>
      <c r="X208">
        <v>6.4207726139999997</v>
      </c>
      <c r="Y208">
        <v>22.21922739</v>
      </c>
      <c r="Z208">
        <v>1.022261434</v>
      </c>
      <c r="AA208">
        <v>54.33</v>
      </c>
      <c r="AB208">
        <v>0.131581272</v>
      </c>
      <c r="AC208">
        <v>16.89</v>
      </c>
      <c r="AD208">
        <v>1183.5999999999999</v>
      </c>
      <c r="AE208">
        <v>5.9667440850000002</v>
      </c>
      <c r="AF208">
        <v>3.9757090150000001</v>
      </c>
      <c r="AG208" t="s">
        <v>446</v>
      </c>
      <c r="AH208">
        <v>1</v>
      </c>
      <c r="AI208">
        <v>0</v>
      </c>
      <c r="AJ208">
        <v>0</v>
      </c>
      <c r="AK208">
        <v>0</v>
      </c>
      <c r="AL208" t="s">
        <v>155</v>
      </c>
      <c r="AM208" t="s">
        <v>146</v>
      </c>
      <c r="AN208">
        <v>-1.92</v>
      </c>
      <c r="AO208">
        <v>0.79</v>
      </c>
      <c r="AP208">
        <v>96.52</v>
      </c>
      <c r="AQ208">
        <v>0.02</v>
      </c>
      <c r="AR208">
        <v>128</v>
      </c>
      <c r="AS208">
        <v>50.270833330000002</v>
      </c>
    </row>
    <row r="209" spans="1:45" x14ac:dyDescent="0.2">
      <c r="A209" t="s">
        <v>450</v>
      </c>
      <c r="B209" t="s">
        <v>332</v>
      </c>
      <c r="C209" t="s">
        <v>169</v>
      </c>
      <c r="D209" t="s">
        <v>448</v>
      </c>
      <c r="E209">
        <v>40.730004000000001</v>
      </c>
      <c r="F209">
        <v>-72.892003200000005</v>
      </c>
      <c r="G209" t="s">
        <v>449</v>
      </c>
      <c r="H209" s="1">
        <v>43169</v>
      </c>
      <c r="I209">
        <v>16.145205480000001</v>
      </c>
      <c r="J209">
        <v>2.9964429789999998</v>
      </c>
      <c r="K209">
        <v>3.317006798</v>
      </c>
      <c r="L209">
        <v>0.96292612899999996</v>
      </c>
      <c r="M209">
        <f t="shared" si="3"/>
        <v>-0.32056381900000019</v>
      </c>
      <c r="N209">
        <v>4.12</v>
      </c>
      <c r="O209">
        <v>4.6399999999999997</v>
      </c>
      <c r="P209">
        <v>1.36</v>
      </c>
      <c r="Q209">
        <v>0.33100000000000002</v>
      </c>
      <c r="R209">
        <v>-7.4999999999999997E-2</v>
      </c>
      <c r="S209">
        <v>0.14399999999999999</v>
      </c>
      <c r="T209">
        <v>0.40600000000000003</v>
      </c>
      <c r="U209">
        <v>0.27379999999999999</v>
      </c>
      <c r="V209">
        <v>0.1408867</v>
      </c>
      <c r="W209">
        <v>-10.880772609999999</v>
      </c>
      <c r="X209">
        <v>5.1607726139999999</v>
      </c>
      <c r="Y209">
        <v>22.21922739</v>
      </c>
      <c r="Z209">
        <v>1.3229932019999999</v>
      </c>
      <c r="AA209">
        <v>49.7</v>
      </c>
      <c r="AB209">
        <v>0.124809613</v>
      </c>
      <c r="AC209">
        <v>16.89</v>
      </c>
      <c r="AD209">
        <v>1183.5999999999999</v>
      </c>
      <c r="AE209">
        <v>5.9667440850000002</v>
      </c>
      <c r="AF209">
        <v>3.9757090150000001</v>
      </c>
      <c r="AG209" t="s">
        <v>446</v>
      </c>
      <c r="AH209">
        <v>1</v>
      </c>
      <c r="AI209">
        <v>0</v>
      </c>
      <c r="AJ209">
        <v>0</v>
      </c>
      <c r="AK209">
        <v>0</v>
      </c>
      <c r="AL209" t="s">
        <v>155</v>
      </c>
      <c r="AM209" t="s">
        <v>146</v>
      </c>
      <c r="AN209">
        <v>-1.728</v>
      </c>
      <c r="AO209">
        <v>0.79</v>
      </c>
      <c r="AP209">
        <v>84.422499999999999</v>
      </c>
      <c r="AQ209">
        <v>0.02</v>
      </c>
      <c r="AR209">
        <v>64</v>
      </c>
      <c r="AS209">
        <v>48.855613429999998</v>
      </c>
    </row>
    <row r="210" spans="1:45" x14ac:dyDescent="0.2">
      <c r="A210" t="s">
        <v>451</v>
      </c>
      <c r="B210" t="s">
        <v>332</v>
      </c>
      <c r="C210" t="s">
        <v>169</v>
      </c>
      <c r="D210" t="s">
        <v>448</v>
      </c>
      <c r="E210">
        <v>40.729544799999999</v>
      </c>
      <c r="F210">
        <v>-72.891614799999999</v>
      </c>
      <c r="G210" t="s">
        <v>449</v>
      </c>
      <c r="H210" s="1">
        <v>43169</v>
      </c>
      <c r="I210">
        <v>16.145205480000001</v>
      </c>
      <c r="J210">
        <v>3.6093937540000001</v>
      </c>
      <c r="K210">
        <v>3.9713801499999999</v>
      </c>
      <c r="L210">
        <v>0.96957617900000004</v>
      </c>
      <c r="M210">
        <f t="shared" si="3"/>
        <v>-0.36198639599999982</v>
      </c>
      <c r="N210">
        <v>4.12</v>
      </c>
      <c r="O210">
        <v>4.6399999999999997</v>
      </c>
      <c r="P210">
        <v>1.36</v>
      </c>
      <c r="Q210">
        <v>0.33100000000000002</v>
      </c>
      <c r="R210">
        <v>-7.4999999999999997E-2</v>
      </c>
      <c r="S210">
        <v>0.14399999999999999</v>
      </c>
      <c r="T210">
        <v>0.40600000000000003</v>
      </c>
      <c r="U210">
        <v>0.29909999999999998</v>
      </c>
      <c r="V210">
        <v>7.8571428999999998E-2</v>
      </c>
      <c r="W210">
        <v>-10.880772609999999</v>
      </c>
      <c r="X210">
        <v>7.6907726140000001</v>
      </c>
      <c r="Y210">
        <v>22.21922739</v>
      </c>
      <c r="Z210">
        <v>0.66861985000000002</v>
      </c>
      <c r="AA210">
        <v>58.96</v>
      </c>
      <c r="AB210">
        <v>0.153660085</v>
      </c>
      <c r="AC210">
        <v>16.89</v>
      </c>
      <c r="AD210">
        <v>1183.5999999999999</v>
      </c>
      <c r="AE210">
        <v>5.9667440850000002</v>
      </c>
      <c r="AF210">
        <v>3.9757090150000001</v>
      </c>
      <c r="AG210" t="s">
        <v>446</v>
      </c>
      <c r="AH210">
        <v>1</v>
      </c>
      <c r="AI210">
        <v>0</v>
      </c>
      <c r="AJ210">
        <v>0</v>
      </c>
      <c r="AK210">
        <v>0</v>
      </c>
      <c r="AL210" t="s">
        <v>155</v>
      </c>
      <c r="AM210" t="s">
        <v>146</v>
      </c>
      <c r="AN210">
        <v>-1.4470000000000001</v>
      </c>
      <c r="AO210">
        <v>0.93</v>
      </c>
      <c r="AP210">
        <v>97.302499999999995</v>
      </c>
      <c r="AQ210">
        <v>0.02</v>
      </c>
      <c r="AR210">
        <v>517</v>
      </c>
      <c r="AS210">
        <v>67.244298549999996</v>
      </c>
    </row>
    <row r="211" spans="1:45" x14ac:dyDescent="0.2">
      <c r="A211" t="s">
        <v>452</v>
      </c>
      <c r="B211" t="s">
        <v>332</v>
      </c>
      <c r="C211" t="s">
        <v>169</v>
      </c>
      <c r="D211" t="s">
        <v>453</v>
      </c>
      <c r="E211">
        <v>40.6195758</v>
      </c>
      <c r="F211">
        <v>-73.795499199999995</v>
      </c>
      <c r="G211" t="s">
        <v>455</v>
      </c>
      <c r="H211" s="1">
        <v>43383</v>
      </c>
      <c r="I211">
        <v>16.126027400000002</v>
      </c>
      <c r="J211">
        <v>4.1456934649999999</v>
      </c>
      <c r="K211">
        <v>4.3252135120000004</v>
      </c>
      <c r="L211">
        <v>0.99272437899999999</v>
      </c>
      <c r="M211">
        <f t="shared" si="3"/>
        <v>-0.17952004700000046</v>
      </c>
      <c r="N211">
        <v>4.12</v>
      </c>
      <c r="O211">
        <v>4.6399999999999997</v>
      </c>
      <c r="P211">
        <v>1.36</v>
      </c>
      <c r="Q211">
        <v>0.9</v>
      </c>
      <c r="R211">
        <v>-0.77</v>
      </c>
      <c r="S211">
        <v>6.8000000000000005E-2</v>
      </c>
      <c r="T211">
        <v>1.67</v>
      </c>
      <c r="U211">
        <v>0.90169999999999995</v>
      </c>
      <c r="V211">
        <v>-1.0179640000000001E-3</v>
      </c>
      <c r="W211">
        <v>-77.354603670000003</v>
      </c>
      <c r="X211">
        <v>77.524603670000005</v>
      </c>
      <c r="Y211">
        <v>12.645396330000001</v>
      </c>
      <c r="Z211">
        <v>0.31478648799999998</v>
      </c>
      <c r="AA211" t="s">
        <v>68</v>
      </c>
      <c r="AB211" t="s">
        <v>68</v>
      </c>
      <c r="AC211">
        <v>16.89</v>
      </c>
      <c r="AD211">
        <v>1183.5999999999999</v>
      </c>
      <c r="AE211">
        <v>2.2175062670000001</v>
      </c>
      <c r="AF211">
        <v>1.9647417620000001</v>
      </c>
      <c r="AG211" t="s">
        <v>454</v>
      </c>
      <c r="AH211">
        <v>1</v>
      </c>
      <c r="AI211">
        <v>0</v>
      </c>
      <c r="AJ211">
        <v>0</v>
      </c>
      <c r="AK211">
        <v>0</v>
      </c>
      <c r="AL211" t="s">
        <v>155</v>
      </c>
      <c r="AM211" t="s">
        <v>146</v>
      </c>
      <c r="AN211">
        <v>-0.435</v>
      </c>
      <c r="AO211">
        <v>0.71</v>
      </c>
      <c r="AP211">
        <v>32.454999999999998</v>
      </c>
      <c r="AQ211">
        <v>0.13500000000000001</v>
      </c>
      <c r="AR211">
        <v>1000</v>
      </c>
      <c r="AS211">
        <v>74.609195400000004</v>
      </c>
    </row>
    <row r="212" spans="1:45" x14ac:dyDescent="0.2">
      <c r="A212" t="s">
        <v>456</v>
      </c>
      <c r="B212" t="s">
        <v>332</v>
      </c>
      <c r="C212" t="s">
        <v>169</v>
      </c>
      <c r="D212" t="s">
        <v>453</v>
      </c>
      <c r="E212">
        <v>40.619673499999998</v>
      </c>
      <c r="F212">
        <v>-73.795321900000005</v>
      </c>
      <c r="G212" t="s">
        <v>455</v>
      </c>
      <c r="H212" s="1">
        <v>43383</v>
      </c>
      <c r="I212">
        <v>16.126027400000002</v>
      </c>
      <c r="J212">
        <v>3.9490374930000001</v>
      </c>
      <c r="K212">
        <v>4.5503102870000003</v>
      </c>
      <c r="L212">
        <v>0.98943254999999997</v>
      </c>
      <c r="M212">
        <f t="shared" si="3"/>
        <v>-0.60127279400000022</v>
      </c>
      <c r="N212">
        <v>4.12</v>
      </c>
      <c r="O212">
        <v>4.6399999999999997</v>
      </c>
      <c r="P212">
        <v>1.36</v>
      </c>
      <c r="Q212">
        <v>0.9</v>
      </c>
      <c r="R212">
        <v>-0.77</v>
      </c>
      <c r="S212">
        <v>6.8000000000000005E-2</v>
      </c>
      <c r="T212">
        <v>1.67</v>
      </c>
      <c r="U212">
        <v>0.89329999999999998</v>
      </c>
      <c r="V212">
        <v>4.0119760000000004E-3</v>
      </c>
      <c r="W212">
        <v>-77.354603670000003</v>
      </c>
      <c r="X212">
        <v>76.684603670000001</v>
      </c>
      <c r="Y212">
        <v>12.645396330000001</v>
      </c>
      <c r="Z212">
        <v>8.9689713000000004E-2</v>
      </c>
      <c r="AA212" t="s">
        <v>68</v>
      </c>
      <c r="AB212" t="s">
        <v>68</v>
      </c>
      <c r="AC212">
        <v>16.89</v>
      </c>
      <c r="AD212">
        <v>1183.5999999999999</v>
      </c>
      <c r="AE212">
        <v>2.2175062670000001</v>
      </c>
      <c r="AF212">
        <v>1.9647417620000001</v>
      </c>
      <c r="AG212" t="s">
        <v>454</v>
      </c>
      <c r="AH212">
        <v>1</v>
      </c>
      <c r="AI212">
        <v>0</v>
      </c>
      <c r="AJ212">
        <v>0</v>
      </c>
      <c r="AK212">
        <v>0</v>
      </c>
      <c r="AL212" t="s">
        <v>155</v>
      </c>
      <c r="AM212" t="s">
        <v>146</v>
      </c>
      <c r="AN212">
        <v>-0.89459999999999995</v>
      </c>
      <c r="AO212">
        <v>0.92</v>
      </c>
      <c r="AP212">
        <v>31.372499999999999</v>
      </c>
      <c r="AQ212">
        <v>0.13500000000000001</v>
      </c>
      <c r="AR212">
        <v>1000</v>
      </c>
      <c r="AS212">
        <v>35.068745810000003</v>
      </c>
    </row>
    <row r="213" spans="1:45" x14ac:dyDescent="0.2">
      <c r="A213" t="s">
        <v>457</v>
      </c>
      <c r="B213" t="s">
        <v>332</v>
      </c>
      <c r="C213" t="s">
        <v>169</v>
      </c>
      <c r="D213" t="s">
        <v>453</v>
      </c>
      <c r="E213">
        <v>40.6201553</v>
      </c>
      <c r="F213">
        <v>-73.795319500000005</v>
      </c>
      <c r="G213" t="s">
        <v>455</v>
      </c>
      <c r="H213" s="1">
        <v>43383</v>
      </c>
      <c r="I213">
        <v>16.126027400000002</v>
      </c>
      <c r="J213">
        <v>4.2184036630000001</v>
      </c>
      <c r="K213">
        <v>5.0702372540000002</v>
      </c>
      <c r="L213">
        <v>0.99243250100000002</v>
      </c>
      <c r="M213">
        <f t="shared" si="3"/>
        <v>-0.85183359100000011</v>
      </c>
      <c r="N213">
        <v>4.12</v>
      </c>
      <c r="O213">
        <v>4.6399999999999997</v>
      </c>
      <c r="P213">
        <v>1.36</v>
      </c>
      <c r="Q213">
        <v>0.9</v>
      </c>
      <c r="R213">
        <v>-0.77</v>
      </c>
      <c r="S213">
        <v>6.8000000000000005E-2</v>
      </c>
      <c r="T213">
        <v>1.67</v>
      </c>
      <c r="U213">
        <v>0.8972</v>
      </c>
      <c r="V213">
        <v>1.6766470000000001E-3</v>
      </c>
      <c r="W213">
        <v>-77.354603670000003</v>
      </c>
      <c r="X213">
        <v>77.074603670000002</v>
      </c>
      <c r="Y213">
        <v>12.645396330000001</v>
      </c>
      <c r="Z213">
        <v>-0.43023725400000001</v>
      </c>
      <c r="AA213" t="s">
        <v>68</v>
      </c>
      <c r="AB213" t="s">
        <v>68</v>
      </c>
      <c r="AC213">
        <v>16.89</v>
      </c>
      <c r="AD213">
        <v>1183.5999999999999</v>
      </c>
      <c r="AE213">
        <v>2.2175062670000001</v>
      </c>
      <c r="AF213">
        <v>1.9647417620000001</v>
      </c>
      <c r="AG213" t="s">
        <v>454</v>
      </c>
      <c r="AH213">
        <v>1</v>
      </c>
      <c r="AI213">
        <v>0</v>
      </c>
      <c r="AJ213">
        <v>0</v>
      </c>
      <c r="AK213">
        <v>0</v>
      </c>
      <c r="AL213" t="s">
        <v>155</v>
      </c>
      <c r="AM213" t="s">
        <v>146</v>
      </c>
      <c r="AN213">
        <v>-0.60070000000000001</v>
      </c>
      <c r="AO213">
        <v>0.995</v>
      </c>
      <c r="AP213">
        <v>17.4025</v>
      </c>
      <c r="AQ213">
        <v>0.13500000000000001</v>
      </c>
      <c r="AR213">
        <v>1000</v>
      </c>
      <c r="AS213">
        <v>28.970367899999999</v>
      </c>
    </row>
    <row r="214" spans="1:45" x14ac:dyDescent="0.2">
      <c r="A214" t="s">
        <v>458</v>
      </c>
      <c r="B214" t="s">
        <v>332</v>
      </c>
      <c r="C214" t="s">
        <v>169</v>
      </c>
      <c r="D214" t="s">
        <v>459</v>
      </c>
      <c r="E214">
        <v>40.611733000000001</v>
      </c>
      <c r="F214">
        <v>-73.785899200000003</v>
      </c>
      <c r="G214" t="s">
        <v>460</v>
      </c>
      <c r="H214" s="1">
        <v>43383</v>
      </c>
      <c r="I214">
        <v>11.871232880000001</v>
      </c>
      <c r="J214">
        <v>3.7581437009999998</v>
      </c>
      <c r="K214">
        <v>5.4160121529999996</v>
      </c>
      <c r="L214">
        <v>0.98211947700000002</v>
      </c>
      <c r="M214">
        <f t="shared" si="3"/>
        <v>-1.6578684519999998</v>
      </c>
      <c r="N214">
        <v>4.12</v>
      </c>
      <c r="O214">
        <v>4.01</v>
      </c>
      <c r="P214">
        <v>1.36</v>
      </c>
      <c r="Q214">
        <v>0.9</v>
      </c>
      <c r="R214">
        <v>-0.77</v>
      </c>
      <c r="S214">
        <v>6.8000000000000005E-2</v>
      </c>
      <c r="T214">
        <v>1.67</v>
      </c>
      <c r="U214">
        <v>0.80210000000000004</v>
      </c>
      <c r="V214">
        <v>5.8622753999999999E-2</v>
      </c>
      <c r="W214">
        <v>-77.354603670000003</v>
      </c>
      <c r="X214">
        <v>67.564603669999997</v>
      </c>
      <c r="Y214">
        <v>12.645396330000001</v>
      </c>
      <c r="Z214">
        <v>-1.406012153</v>
      </c>
      <c r="AA214" t="s">
        <v>68</v>
      </c>
      <c r="AB214" t="s">
        <v>68</v>
      </c>
      <c r="AC214">
        <v>16.89</v>
      </c>
      <c r="AD214">
        <v>1183.5999999999999</v>
      </c>
      <c r="AE214">
        <v>2.2355763959999999</v>
      </c>
      <c r="AF214">
        <v>1.8690798820000001</v>
      </c>
      <c r="AG214" t="s">
        <v>341</v>
      </c>
      <c r="AH214">
        <v>0</v>
      </c>
      <c r="AI214">
        <v>0</v>
      </c>
      <c r="AJ214">
        <v>0</v>
      </c>
      <c r="AK214">
        <v>0</v>
      </c>
      <c r="AL214" t="s">
        <v>68</v>
      </c>
      <c r="AM214" t="s">
        <v>146</v>
      </c>
      <c r="AN214">
        <v>-1.0229999999999999</v>
      </c>
      <c r="AO214">
        <v>0.94</v>
      </c>
      <c r="AP214">
        <v>60.505000000000003</v>
      </c>
      <c r="AQ214">
        <v>0.13500000000000001</v>
      </c>
      <c r="AR214">
        <v>1000</v>
      </c>
      <c r="AS214">
        <v>59.144672530000001</v>
      </c>
    </row>
    <row r="215" spans="1:45" x14ac:dyDescent="0.2">
      <c r="A215" t="s">
        <v>461</v>
      </c>
      <c r="B215" t="s">
        <v>332</v>
      </c>
      <c r="C215" t="s">
        <v>169</v>
      </c>
      <c r="D215" t="s">
        <v>459</v>
      </c>
      <c r="E215">
        <v>40.612106500000003</v>
      </c>
      <c r="F215">
        <v>-73.787237599999997</v>
      </c>
      <c r="G215" t="s">
        <v>460</v>
      </c>
      <c r="H215" s="1">
        <v>43383</v>
      </c>
      <c r="I215">
        <v>11.871232880000001</v>
      </c>
      <c r="J215">
        <v>3.6223553339999999</v>
      </c>
      <c r="K215">
        <v>4.7228016999999998</v>
      </c>
      <c r="L215">
        <v>0.978767426</v>
      </c>
      <c r="M215">
        <f t="shared" si="3"/>
        <v>-1.1004463659999999</v>
      </c>
      <c r="N215">
        <v>4.12</v>
      </c>
      <c r="O215">
        <v>4.01</v>
      </c>
      <c r="P215">
        <v>1.36</v>
      </c>
      <c r="Q215">
        <v>0.9</v>
      </c>
      <c r="R215">
        <v>-0.77</v>
      </c>
      <c r="S215">
        <v>6.8000000000000005E-2</v>
      </c>
      <c r="T215">
        <v>1.67</v>
      </c>
      <c r="U215">
        <v>0.73560000000000003</v>
      </c>
      <c r="V215">
        <v>9.8443113999999998E-2</v>
      </c>
      <c r="W215">
        <v>-77.354603670000003</v>
      </c>
      <c r="X215">
        <v>60.914603669999998</v>
      </c>
      <c r="Y215">
        <v>12.645396330000001</v>
      </c>
      <c r="Z215">
        <v>-0.71280169999999998</v>
      </c>
      <c r="AA215" t="s">
        <v>68</v>
      </c>
      <c r="AB215" t="s">
        <v>68</v>
      </c>
      <c r="AC215">
        <v>16.89</v>
      </c>
      <c r="AD215">
        <v>1183.5999999999999</v>
      </c>
      <c r="AE215">
        <v>2.2355763959999999</v>
      </c>
      <c r="AF215">
        <v>1.8690798820000001</v>
      </c>
      <c r="AG215" t="s">
        <v>341</v>
      </c>
      <c r="AH215">
        <v>0</v>
      </c>
      <c r="AI215">
        <v>0</v>
      </c>
      <c r="AJ215">
        <v>0</v>
      </c>
      <c r="AK215">
        <v>0</v>
      </c>
      <c r="AL215" t="s">
        <v>68</v>
      </c>
      <c r="AM215" t="s">
        <v>146</v>
      </c>
      <c r="AN215">
        <v>0.16339999999999999</v>
      </c>
      <c r="AO215">
        <v>0.93</v>
      </c>
      <c r="AP215">
        <v>113.25</v>
      </c>
      <c r="AQ215">
        <v>0.13500000000000001</v>
      </c>
      <c r="AR215">
        <v>1000</v>
      </c>
      <c r="AS215">
        <v>1000</v>
      </c>
    </row>
    <row r="216" spans="1:45" x14ac:dyDescent="0.2">
      <c r="A216" t="s">
        <v>462</v>
      </c>
      <c r="B216" t="s">
        <v>332</v>
      </c>
      <c r="C216" t="s">
        <v>169</v>
      </c>
      <c r="D216" t="s">
        <v>459</v>
      </c>
      <c r="E216">
        <v>40.612008699999997</v>
      </c>
      <c r="F216">
        <v>-73.786420899999996</v>
      </c>
      <c r="G216" t="s">
        <v>460</v>
      </c>
      <c r="H216" s="1">
        <v>43383</v>
      </c>
      <c r="I216">
        <v>11.871232880000001</v>
      </c>
      <c r="J216">
        <v>3.8317162100000002</v>
      </c>
      <c r="K216">
        <v>5.207248474</v>
      </c>
      <c r="L216">
        <v>0.90004488500000002</v>
      </c>
      <c r="M216">
        <f t="shared" si="3"/>
        <v>-1.3755322639999998</v>
      </c>
      <c r="N216">
        <v>4.12</v>
      </c>
      <c r="O216">
        <v>4.01</v>
      </c>
      <c r="P216">
        <v>1.36</v>
      </c>
      <c r="Q216">
        <v>0.9</v>
      </c>
      <c r="R216">
        <v>-0.77</v>
      </c>
      <c r="S216">
        <v>6.8000000000000005E-2</v>
      </c>
      <c r="T216">
        <v>1.67</v>
      </c>
      <c r="U216">
        <v>0.8175</v>
      </c>
      <c r="V216">
        <v>4.9401198E-2</v>
      </c>
      <c r="W216">
        <v>-77.354603670000003</v>
      </c>
      <c r="X216">
        <v>69.104603670000003</v>
      </c>
      <c r="Y216">
        <v>12.645396330000001</v>
      </c>
      <c r="Z216">
        <v>-1.197248474</v>
      </c>
      <c r="AA216" t="s">
        <v>68</v>
      </c>
      <c r="AB216" t="s">
        <v>68</v>
      </c>
      <c r="AC216">
        <v>16.89</v>
      </c>
      <c r="AD216">
        <v>1183.5999999999999</v>
      </c>
      <c r="AE216">
        <v>2.2355763959999999</v>
      </c>
      <c r="AF216">
        <v>1.8690798820000001</v>
      </c>
      <c r="AG216" t="s">
        <v>341</v>
      </c>
      <c r="AH216">
        <v>0</v>
      </c>
      <c r="AI216">
        <v>0</v>
      </c>
      <c r="AJ216">
        <v>0</v>
      </c>
      <c r="AK216">
        <v>0</v>
      </c>
      <c r="AL216" t="s">
        <v>68</v>
      </c>
      <c r="AM216" t="s">
        <v>146</v>
      </c>
      <c r="AN216">
        <v>-0.8327</v>
      </c>
      <c r="AO216">
        <v>0.9</v>
      </c>
      <c r="AP216">
        <v>110.28</v>
      </c>
      <c r="AQ216">
        <v>0.13500000000000001</v>
      </c>
      <c r="AR216">
        <v>1000</v>
      </c>
      <c r="AS216">
        <v>132.43665189999999</v>
      </c>
    </row>
    <row r="217" spans="1:45" x14ac:dyDescent="0.2">
      <c r="A217" t="s">
        <v>463</v>
      </c>
      <c r="B217" t="s">
        <v>332</v>
      </c>
      <c r="C217" t="s">
        <v>169</v>
      </c>
      <c r="D217" t="s">
        <v>464</v>
      </c>
      <c r="E217">
        <v>41.160400000000003</v>
      </c>
      <c r="F217">
        <v>-73.143940000000001</v>
      </c>
      <c r="G217" t="s">
        <v>466</v>
      </c>
      <c r="H217" t="s">
        <v>467</v>
      </c>
      <c r="I217">
        <v>13.41917808</v>
      </c>
      <c r="J217">
        <v>2.86</v>
      </c>
      <c r="K217">
        <v>2.6906481649999998</v>
      </c>
      <c r="L217">
        <v>0.96722935600000004</v>
      </c>
      <c r="M217">
        <f t="shared" si="3"/>
        <v>0.16935183500000006</v>
      </c>
      <c r="N217">
        <v>2.44</v>
      </c>
      <c r="O217">
        <v>5.94</v>
      </c>
      <c r="P217">
        <v>0.92</v>
      </c>
      <c r="Q217">
        <v>0.95799999999999996</v>
      </c>
      <c r="R217">
        <v>-1.097</v>
      </c>
      <c r="S217">
        <v>-6.7000000000000004E-2</v>
      </c>
      <c r="T217">
        <v>2.0550000000000002</v>
      </c>
      <c r="U217">
        <v>1.32925</v>
      </c>
      <c r="V217">
        <v>-0.18065693399999999</v>
      </c>
      <c r="W217">
        <v>-87.105623949999995</v>
      </c>
      <c r="X217">
        <v>124.23062400000001</v>
      </c>
      <c r="Y217">
        <v>8.6943760490000006</v>
      </c>
      <c r="Z217">
        <v>3.2493518350000001</v>
      </c>
      <c r="AA217">
        <v>59.11</v>
      </c>
      <c r="AB217">
        <v>0.19861347100000001</v>
      </c>
      <c r="AC217">
        <v>15.94</v>
      </c>
      <c r="AD217">
        <v>1196.5</v>
      </c>
      <c r="AE217">
        <v>3.9367034300000001</v>
      </c>
      <c r="AF217">
        <v>2.1360142130000002</v>
      </c>
      <c r="AG217" t="s">
        <v>465</v>
      </c>
      <c r="AH217">
        <v>1</v>
      </c>
      <c r="AI217">
        <v>1</v>
      </c>
      <c r="AJ217">
        <v>0</v>
      </c>
      <c r="AK217">
        <v>0</v>
      </c>
      <c r="AL217" t="s">
        <v>155</v>
      </c>
      <c r="AM217" t="s">
        <v>146</v>
      </c>
      <c r="AN217">
        <v>-0.14779999999999999</v>
      </c>
      <c r="AO217">
        <v>0.4</v>
      </c>
      <c r="AP217">
        <v>20.4375</v>
      </c>
      <c r="AQ217">
        <v>0.42</v>
      </c>
      <c r="AR217">
        <v>1000</v>
      </c>
      <c r="AS217">
        <v>138.27807849999999</v>
      </c>
    </row>
    <row r="218" spans="1:45" x14ac:dyDescent="0.2">
      <c r="A218" t="s">
        <v>468</v>
      </c>
      <c r="B218" t="s">
        <v>332</v>
      </c>
      <c r="C218" t="s">
        <v>169</v>
      </c>
      <c r="D218" t="s">
        <v>464</v>
      </c>
      <c r="E218">
        <v>41.161250000000003</v>
      </c>
      <c r="F218">
        <v>-73.145399999999995</v>
      </c>
      <c r="G218" t="s">
        <v>466</v>
      </c>
      <c r="H218" t="s">
        <v>467</v>
      </c>
      <c r="I218">
        <v>13.41917808</v>
      </c>
      <c r="J218">
        <v>2.08</v>
      </c>
      <c r="K218">
        <v>1.916238299</v>
      </c>
      <c r="L218">
        <v>0.90008388800000005</v>
      </c>
      <c r="M218">
        <f t="shared" si="3"/>
        <v>0.16376170100000009</v>
      </c>
      <c r="N218">
        <v>2.44</v>
      </c>
      <c r="O218">
        <v>5.94</v>
      </c>
      <c r="P218">
        <v>0.92</v>
      </c>
      <c r="Q218">
        <v>0.95799999999999996</v>
      </c>
      <c r="R218">
        <v>-1.097</v>
      </c>
      <c r="S218">
        <v>-6.7000000000000004E-2</v>
      </c>
      <c r="T218">
        <v>2.0550000000000002</v>
      </c>
      <c r="U218">
        <v>1.3792500000000001</v>
      </c>
      <c r="V218">
        <v>-0.20498783500000001</v>
      </c>
      <c r="W218">
        <v>-87.105623949999995</v>
      </c>
      <c r="X218">
        <v>129.23062400000001</v>
      </c>
      <c r="Y218">
        <v>8.6943760490000006</v>
      </c>
      <c r="Z218">
        <v>4.0237617009999997</v>
      </c>
      <c r="AA218">
        <v>59.11</v>
      </c>
      <c r="AB218">
        <v>0.189176855</v>
      </c>
      <c r="AC218">
        <v>15.94</v>
      </c>
      <c r="AD218">
        <v>1196.5</v>
      </c>
      <c r="AE218">
        <v>4.1315123739999997</v>
      </c>
      <c r="AF218">
        <v>2.3536876379999998</v>
      </c>
      <c r="AG218" t="s">
        <v>365</v>
      </c>
      <c r="AH218">
        <v>1</v>
      </c>
      <c r="AI218">
        <v>1</v>
      </c>
      <c r="AJ218">
        <v>0</v>
      </c>
      <c r="AK218">
        <v>0</v>
      </c>
      <c r="AL218" t="s">
        <v>155</v>
      </c>
      <c r="AM218" t="s">
        <v>146</v>
      </c>
      <c r="AN218">
        <v>-0.29880000000000001</v>
      </c>
      <c r="AO218">
        <v>0.9</v>
      </c>
      <c r="AP218">
        <v>21.787500000000001</v>
      </c>
      <c r="AQ218">
        <v>0.42</v>
      </c>
      <c r="AR218">
        <v>2467</v>
      </c>
      <c r="AS218">
        <v>72.916666669999998</v>
      </c>
    </row>
    <row r="219" spans="1:45" x14ac:dyDescent="0.2">
      <c r="A219" t="s">
        <v>469</v>
      </c>
      <c r="B219" t="s">
        <v>332</v>
      </c>
      <c r="C219" t="s">
        <v>169</v>
      </c>
      <c r="D219" t="s">
        <v>470</v>
      </c>
      <c r="E219">
        <v>44.3750657</v>
      </c>
      <c r="F219">
        <v>-68.328037699999996</v>
      </c>
      <c r="G219" t="s">
        <v>472</v>
      </c>
      <c r="H219" s="1">
        <v>43229</v>
      </c>
      <c r="I219">
        <v>6.9643835620000001</v>
      </c>
      <c r="J219">
        <v>2.5057047200000002</v>
      </c>
      <c r="K219">
        <v>1.7568924589999999</v>
      </c>
      <c r="L219">
        <v>0.812013176</v>
      </c>
      <c r="M219">
        <f t="shared" si="3"/>
        <v>0.74881226100000031</v>
      </c>
      <c r="N219">
        <v>2.2599999999999998</v>
      </c>
      <c r="O219">
        <v>1.21</v>
      </c>
      <c r="P219">
        <v>-0.45</v>
      </c>
      <c r="Q219">
        <v>1.6719999999999999</v>
      </c>
      <c r="R219">
        <v>0.25</v>
      </c>
      <c r="S219">
        <v>0.94199999999999995</v>
      </c>
      <c r="T219">
        <v>1.4219999999999999</v>
      </c>
      <c r="U219">
        <v>1.7403</v>
      </c>
      <c r="V219">
        <v>-4.8030942E-2</v>
      </c>
      <c r="W219">
        <v>-69.798323319999994</v>
      </c>
      <c r="X219">
        <v>76.628323320000007</v>
      </c>
      <c r="Y219">
        <v>97.401676679999994</v>
      </c>
      <c r="Z219">
        <v>-0.54689245900000005</v>
      </c>
      <c r="AA219" t="s">
        <v>68</v>
      </c>
      <c r="AB219" t="s">
        <v>68</v>
      </c>
      <c r="AC219">
        <v>12.05</v>
      </c>
      <c r="AD219">
        <v>1216</v>
      </c>
      <c r="AE219">
        <v>0.46945278600000001</v>
      </c>
      <c r="AF219">
        <v>0.214708973</v>
      </c>
      <c r="AG219" t="s">
        <v>471</v>
      </c>
      <c r="AH219">
        <v>1</v>
      </c>
      <c r="AI219">
        <v>1</v>
      </c>
      <c r="AJ219">
        <v>1</v>
      </c>
      <c r="AK219">
        <v>0</v>
      </c>
      <c r="AL219" t="s">
        <v>155</v>
      </c>
      <c r="AM219" t="s">
        <v>335</v>
      </c>
      <c r="AN219">
        <v>-0.26300000000000001</v>
      </c>
      <c r="AO219">
        <v>0.78</v>
      </c>
      <c r="AP219">
        <v>10.335000000000001</v>
      </c>
      <c r="AQ219">
        <v>0.22</v>
      </c>
      <c r="AR219">
        <v>1523</v>
      </c>
      <c r="AS219">
        <v>39.29657795</v>
      </c>
    </row>
    <row r="220" spans="1:45" x14ac:dyDescent="0.2">
      <c r="A220" t="s">
        <v>473</v>
      </c>
      <c r="B220" t="s">
        <v>332</v>
      </c>
      <c r="C220" t="s">
        <v>169</v>
      </c>
      <c r="D220" t="s">
        <v>470</v>
      </c>
      <c r="E220">
        <v>44.3746455</v>
      </c>
      <c r="F220">
        <v>-68.327829100000002</v>
      </c>
      <c r="G220" t="s">
        <v>472</v>
      </c>
      <c r="H220" s="1">
        <v>43229</v>
      </c>
      <c r="I220">
        <v>6.9643835620000001</v>
      </c>
      <c r="J220">
        <v>1.7467180959999999</v>
      </c>
      <c r="K220">
        <v>2.8580520260000002</v>
      </c>
      <c r="L220">
        <v>0.76515182900000001</v>
      </c>
      <c r="M220">
        <f t="shared" si="3"/>
        <v>-1.1113339300000002</v>
      </c>
      <c r="N220">
        <v>2.2599999999999998</v>
      </c>
      <c r="O220">
        <v>1.21</v>
      </c>
      <c r="P220">
        <v>-0.45</v>
      </c>
      <c r="Q220">
        <v>1.6719999999999999</v>
      </c>
      <c r="R220">
        <v>0.25</v>
      </c>
      <c r="S220">
        <v>0.94199999999999995</v>
      </c>
      <c r="T220">
        <v>1.4219999999999999</v>
      </c>
      <c r="U220">
        <v>1.8032999999999999</v>
      </c>
      <c r="V220">
        <v>-9.2334739999999998E-2</v>
      </c>
      <c r="W220">
        <v>-69.798323319999994</v>
      </c>
      <c r="X220">
        <v>82.928323320000004</v>
      </c>
      <c r="Y220">
        <v>97.401676679999994</v>
      </c>
      <c r="Z220">
        <v>-1.648052026</v>
      </c>
      <c r="AA220" t="s">
        <v>68</v>
      </c>
      <c r="AB220" t="s">
        <v>68</v>
      </c>
      <c r="AC220">
        <v>12.05</v>
      </c>
      <c r="AD220">
        <v>1216</v>
      </c>
      <c r="AE220">
        <v>0.46945278600000001</v>
      </c>
      <c r="AF220">
        <v>0.214708973</v>
      </c>
      <c r="AG220" t="s">
        <v>474</v>
      </c>
      <c r="AH220">
        <v>0</v>
      </c>
      <c r="AI220">
        <v>0</v>
      </c>
      <c r="AJ220">
        <v>1</v>
      </c>
      <c r="AK220">
        <v>0</v>
      </c>
      <c r="AL220" t="s">
        <v>48</v>
      </c>
      <c r="AM220" t="s">
        <v>335</v>
      </c>
      <c r="AN220">
        <v>-4.1000000000000003E-3</v>
      </c>
      <c r="AO220">
        <v>4.0000000000000001E-3</v>
      </c>
      <c r="AP220">
        <v>6.8049999999999997</v>
      </c>
      <c r="AQ220">
        <v>0.22</v>
      </c>
      <c r="AR220">
        <v>1000</v>
      </c>
      <c r="AS220">
        <v>1659.7560980000001</v>
      </c>
    </row>
    <row r="221" spans="1:45" x14ac:dyDescent="0.2">
      <c r="A221" t="s">
        <v>475</v>
      </c>
      <c r="B221" t="s">
        <v>332</v>
      </c>
      <c r="C221" t="s">
        <v>169</v>
      </c>
      <c r="D221" t="s">
        <v>470</v>
      </c>
      <c r="E221">
        <v>44.374596599999997</v>
      </c>
      <c r="F221">
        <v>-68.327491499999994</v>
      </c>
      <c r="G221" t="s">
        <v>472</v>
      </c>
      <c r="H221" s="1">
        <v>43229</v>
      </c>
      <c r="I221">
        <v>6.9643835620000001</v>
      </c>
      <c r="J221">
        <v>0.98436962100000003</v>
      </c>
      <c r="K221">
        <v>0.292437326</v>
      </c>
      <c r="L221">
        <v>3.2300311999999998E-2</v>
      </c>
      <c r="M221">
        <f t="shared" si="3"/>
        <v>0.69193229499999998</v>
      </c>
      <c r="N221">
        <v>2.2599999999999998</v>
      </c>
      <c r="O221">
        <v>1.21</v>
      </c>
      <c r="P221">
        <v>-0.45</v>
      </c>
      <c r="Q221">
        <v>1.6719999999999999</v>
      </c>
      <c r="R221">
        <v>0.25</v>
      </c>
      <c r="S221">
        <v>0.94199999999999995</v>
      </c>
      <c r="T221">
        <v>1.4219999999999999</v>
      </c>
      <c r="U221">
        <v>1.8642000000000001</v>
      </c>
      <c r="V221">
        <v>-0.135161744</v>
      </c>
      <c r="W221">
        <v>-69.798323319999994</v>
      </c>
      <c r="X221">
        <v>89.018323319999993</v>
      </c>
      <c r="Y221">
        <v>97.401676679999994</v>
      </c>
      <c r="Z221">
        <v>0.91756267400000002</v>
      </c>
      <c r="AA221" t="s">
        <v>68</v>
      </c>
      <c r="AB221" t="s">
        <v>68</v>
      </c>
      <c r="AC221">
        <v>12.05</v>
      </c>
      <c r="AD221">
        <v>1216</v>
      </c>
      <c r="AE221">
        <v>0.46945278600000001</v>
      </c>
      <c r="AF221">
        <v>0.214708973</v>
      </c>
      <c r="AG221" t="s">
        <v>476</v>
      </c>
      <c r="AH221">
        <v>1</v>
      </c>
      <c r="AI221">
        <v>0</v>
      </c>
      <c r="AJ221">
        <v>0</v>
      </c>
      <c r="AK221">
        <v>0</v>
      </c>
      <c r="AL221" t="s">
        <v>155</v>
      </c>
      <c r="AM221" t="s">
        <v>335</v>
      </c>
      <c r="AN221">
        <v>-6.8999999999999999E-3</v>
      </c>
      <c r="AO221">
        <v>4.7999999999999996E-3</v>
      </c>
      <c r="AP221">
        <v>27.92</v>
      </c>
      <c r="AQ221">
        <v>0.22</v>
      </c>
      <c r="AR221">
        <v>452</v>
      </c>
      <c r="AS221">
        <v>4046.376812</v>
      </c>
    </row>
    <row r="222" spans="1:45" x14ac:dyDescent="0.2">
      <c r="A222" t="s">
        <v>477</v>
      </c>
      <c r="B222" t="s">
        <v>332</v>
      </c>
      <c r="C222" t="s">
        <v>169</v>
      </c>
      <c r="D222" t="s">
        <v>478</v>
      </c>
      <c r="E222">
        <v>44.256553599999997</v>
      </c>
      <c r="F222">
        <v>-68.343763699999997</v>
      </c>
      <c r="G222" t="s">
        <v>472</v>
      </c>
      <c r="H222" s="1">
        <v>42013</v>
      </c>
      <c r="I222">
        <v>3.9506849320000001</v>
      </c>
      <c r="J222">
        <v>2.4360301739999999</v>
      </c>
      <c r="K222">
        <v>2.745575831</v>
      </c>
      <c r="L222">
        <v>0.66509963699999997</v>
      </c>
      <c r="M222">
        <f t="shared" si="3"/>
        <v>-0.30954565700000014</v>
      </c>
      <c r="N222">
        <v>2.2599999999999998</v>
      </c>
      <c r="O222">
        <v>1.21</v>
      </c>
      <c r="P222">
        <v>-0.3</v>
      </c>
      <c r="Q222">
        <v>1.5</v>
      </c>
      <c r="R222">
        <v>-1.7</v>
      </c>
      <c r="S222">
        <v>-7.5999999999999998E-2</v>
      </c>
      <c r="T222">
        <v>3.2</v>
      </c>
      <c r="U222">
        <v>1.2421</v>
      </c>
      <c r="V222">
        <v>8.0593750000000006E-2</v>
      </c>
      <c r="W222">
        <v>-107.9223822</v>
      </c>
      <c r="X222">
        <v>82.132382149999998</v>
      </c>
      <c r="Y222">
        <v>42.077617850000003</v>
      </c>
      <c r="Z222">
        <v>-1.5355758310000001</v>
      </c>
      <c r="AA222" t="s">
        <v>68</v>
      </c>
      <c r="AB222" t="s">
        <v>68</v>
      </c>
      <c r="AC222">
        <v>12.05</v>
      </c>
      <c r="AD222">
        <v>1216</v>
      </c>
      <c r="AE222">
        <v>0.35696113699999998</v>
      </c>
      <c r="AF222">
        <v>0.222616552</v>
      </c>
      <c r="AG222" t="s">
        <v>479</v>
      </c>
      <c r="AH222">
        <v>1</v>
      </c>
      <c r="AI222">
        <v>1</v>
      </c>
      <c r="AJ222">
        <v>1</v>
      </c>
      <c r="AK222">
        <v>0</v>
      </c>
      <c r="AL222" t="s">
        <v>155</v>
      </c>
      <c r="AM222" t="s">
        <v>335</v>
      </c>
      <c r="AN222">
        <v>-0.53749999999999998</v>
      </c>
      <c r="AO222">
        <v>0.9</v>
      </c>
      <c r="AP222">
        <v>6.2149999999999999</v>
      </c>
      <c r="AQ222">
        <v>0.14000000000000001</v>
      </c>
      <c r="AR222">
        <v>1000</v>
      </c>
      <c r="AS222">
        <v>11.562790700000001</v>
      </c>
    </row>
    <row r="223" spans="1:45" x14ac:dyDescent="0.2">
      <c r="A223" t="s">
        <v>480</v>
      </c>
      <c r="B223" t="s">
        <v>332</v>
      </c>
      <c r="C223" t="s">
        <v>169</v>
      </c>
      <c r="D223" t="s">
        <v>478</v>
      </c>
      <c r="E223">
        <v>44.257754400000003</v>
      </c>
      <c r="F223">
        <v>-68.343162399999997</v>
      </c>
      <c r="G223" t="s">
        <v>472</v>
      </c>
      <c r="H223" s="1">
        <v>43229</v>
      </c>
      <c r="I223">
        <v>6.9643835620000001</v>
      </c>
      <c r="J223">
        <v>3.0858841950000002</v>
      </c>
      <c r="K223">
        <v>-1.2237716279999999</v>
      </c>
      <c r="L223">
        <v>0.172230415</v>
      </c>
      <c r="M223">
        <f t="shared" si="3"/>
        <v>4.3096558229999999</v>
      </c>
      <c r="N223">
        <v>2.2599999999999998</v>
      </c>
      <c r="O223">
        <v>1.21</v>
      </c>
      <c r="P223">
        <v>-0.3</v>
      </c>
      <c r="Q223">
        <v>1.5</v>
      </c>
      <c r="R223">
        <v>-1.7</v>
      </c>
      <c r="S223">
        <v>-7.5999999999999998E-2</v>
      </c>
      <c r="T223">
        <v>3.2</v>
      </c>
      <c r="U223">
        <v>1.1108</v>
      </c>
      <c r="V223">
        <v>0.121625</v>
      </c>
      <c r="W223">
        <v>-107.9223822</v>
      </c>
      <c r="X223">
        <v>69.002382150000003</v>
      </c>
      <c r="Y223">
        <v>42.077617850000003</v>
      </c>
      <c r="Z223">
        <v>2.4337716280000001</v>
      </c>
      <c r="AA223" t="s">
        <v>68</v>
      </c>
      <c r="AB223" t="s">
        <v>68</v>
      </c>
      <c r="AC223">
        <v>12.05</v>
      </c>
      <c r="AD223">
        <v>1216</v>
      </c>
      <c r="AE223">
        <v>0.35696113699999998</v>
      </c>
      <c r="AF223">
        <v>0.222616552</v>
      </c>
      <c r="AG223" t="s">
        <v>481</v>
      </c>
      <c r="AH223">
        <v>1</v>
      </c>
      <c r="AI223">
        <v>0</v>
      </c>
      <c r="AJ223">
        <v>0</v>
      </c>
      <c r="AK223">
        <v>0</v>
      </c>
      <c r="AL223" t="s">
        <v>155</v>
      </c>
      <c r="AM223" t="s">
        <v>335</v>
      </c>
      <c r="AN223">
        <v>-0.29770000000000002</v>
      </c>
      <c r="AO223">
        <v>0.75</v>
      </c>
      <c r="AP223">
        <v>5.8525</v>
      </c>
      <c r="AQ223">
        <v>0.14000000000000001</v>
      </c>
      <c r="AR223">
        <v>198</v>
      </c>
      <c r="AS223">
        <v>19.65905274</v>
      </c>
    </row>
    <row r="224" spans="1:45" x14ac:dyDescent="0.2">
      <c r="A224" t="s">
        <v>482</v>
      </c>
      <c r="B224" t="s">
        <v>332</v>
      </c>
      <c r="C224" t="s">
        <v>169</v>
      </c>
      <c r="D224" t="s">
        <v>478</v>
      </c>
      <c r="E224">
        <v>44.257911999999997</v>
      </c>
      <c r="F224">
        <v>-68.341995900000001</v>
      </c>
      <c r="G224" t="s">
        <v>472</v>
      </c>
      <c r="H224" s="1">
        <v>43229</v>
      </c>
      <c r="I224">
        <v>6.9643835620000001</v>
      </c>
      <c r="J224">
        <v>3.2259346710000001</v>
      </c>
      <c r="K224">
        <v>2.5922300890000001</v>
      </c>
      <c r="L224">
        <v>0.60263543200000003</v>
      </c>
      <c r="M224">
        <f t="shared" si="3"/>
        <v>0.63370458200000002</v>
      </c>
      <c r="N224">
        <v>2.2599999999999998</v>
      </c>
      <c r="O224">
        <v>1.21</v>
      </c>
      <c r="P224">
        <v>-0.3</v>
      </c>
      <c r="Q224">
        <v>1.5</v>
      </c>
      <c r="R224">
        <v>-1.7</v>
      </c>
      <c r="S224">
        <v>-7.5999999999999998E-2</v>
      </c>
      <c r="T224">
        <v>3.2</v>
      </c>
      <c r="U224">
        <v>1.1856</v>
      </c>
      <c r="V224">
        <v>9.8250000000000004E-2</v>
      </c>
      <c r="W224">
        <v>-107.9223822</v>
      </c>
      <c r="X224">
        <v>76.482382150000007</v>
      </c>
      <c r="Y224">
        <v>42.077617850000003</v>
      </c>
      <c r="Z224">
        <v>-1.3822300890000001</v>
      </c>
      <c r="AA224" t="s">
        <v>68</v>
      </c>
      <c r="AB224" t="s">
        <v>68</v>
      </c>
      <c r="AC224">
        <v>12.05</v>
      </c>
      <c r="AD224">
        <v>1216</v>
      </c>
      <c r="AE224">
        <v>0.35696113699999998</v>
      </c>
      <c r="AF224">
        <v>0.222616552</v>
      </c>
      <c r="AG224" t="s">
        <v>483</v>
      </c>
      <c r="AH224">
        <v>1</v>
      </c>
      <c r="AI224">
        <v>0</v>
      </c>
      <c r="AJ224">
        <v>0</v>
      </c>
      <c r="AK224">
        <v>1</v>
      </c>
      <c r="AL224" t="s">
        <v>155</v>
      </c>
      <c r="AM224" t="s">
        <v>335</v>
      </c>
      <c r="AN224">
        <v>-0.40939999999999999</v>
      </c>
      <c r="AO224">
        <v>0.97</v>
      </c>
      <c r="AP224">
        <v>8.6125000000000007</v>
      </c>
      <c r="AQ224">
        <v>0.14000000000000001</v>
      </c>
      <c r="AR224">
        <v>1000</v>
      </c>
      <c r="AS224">
        <v>21.036883240000002</v>
      </c>
    </row>
    <row r="225" spans="1:45" x14ac:dyDescent="0.2">
      <c r="A225" t="s">
        <v>484</v>
      </c>
      <c r="B225" t="s">
        <v>332</v>
      </c>
      <c r="C225" t="s">
        <v>169</v>
      </c>
      <c r="D225" t="s">
        <v>485</v>
      </c>
      <c r="E225">
        <v>44.425505700000002</v>
      </c>
      <c r="F225">
        <v>-68.364295900000002</v>
      </c>
      <c r="G225" t="s">
        <v>486</v>
      </c>
      <c r="H225" s="1">
        <v>43199</v>
      </c>
      <c r="I225">
        <v>6.9589041099999998</v>
      </c>
      <c r="J225">
        <v>1.6242727100000001</v>
      </c>
      <c r="K225">
        <v>1.586417389</v>
      </c>
      <c r="L225">
        <v>0.69549531499999995</v>
      </c>
      <c r="M225">
        <f t="shared" si="3"/>
        <v>3.7855321000000108E-2</v>
      </c>
      <c r="N225">
        <v>2.2599999999999998</v>
      </c>
      <c r="O225">
        <v>1.21</v>
      </c>
      <c r="P225">
        <v>-0.3</v>
      </c>
      <c r="Q225">
        <v>1.5</v>
      </c>
      <c r="R225">
        <v>-1.7</v>
      </c>
      <c r="S225">
        <v>-7.5999999999999998E-2</v>
      </c>
      <c r="T225">
        <v>3.2</v>
      </c>
      <c r="U225">
        <v>1.7794000000000001</v>
      </c>
      <c r="V225">
        <v>-8.7312500000000001E-2</v>
      </c>
      <c r="W225">
        <v>-107.9223822</v>
      </c>
      <c r="X225">
        <v>135.86238220000001</v>
      </c>
      <c r="Y225">
        <v>42.077617850000003</v>
      </c>
      <c r="Z225">
        <v>-0.37641738899999999</v>
      </c>
      <c r="AA225" t="s">
        <v>68</v>
      </c>
      <c r="AB225" t="s">
        <v>68</v>
      </c>
      <c r="AC225">
        <v>12.05</v>
      </c>
      <c r="AD225">
        <v>1216</v>
      </c>
      <c r="AE225">
        <v>1.51678023</v>
      </c>
      <c r="AF225">
        <v>2.4046287199999998</v>
      </c>
      <c r="AG225" t="s">
        <v>377</v>
      </c>
      <c r="AH225">
        <v>1</v>
      </c>
      <c r="AI225">
        <v>0</v>
      </c>
      <c r="AJ225">
        <v>0</v>
      </c>
      <c r="AK225">
        <v>0</v>
      </c>
      <c r="AL225" t="s">
        <v>155</v>
      </c>
      <c r="AM225" t="s">
        <v>335</v>
      </c>
      <c r="AN225">
        <v>-0.40160000000000001</v>
      </c>
      <c r="AO225">
        <v>0.97</v>
      </c>
      <c r="AP225">
        <v>18.555</v>
      </c>
      <c r="AQ225">
        <v>0.28000000000000003</v>
      </c>
      <c r="AR225">
        <v>2017</v>
      </c>
      <c r="AS225">
        <v>46.202689239999998</v>
      </c>
    </row>
    <row r="226" spans="1:45" x14ac:dyDescent="0.2">
      <c r="A226" t="s">
        <v>487</v>
      </c>
      <c r="B226" t="s">
        <v>332</v>
      </c>
      <c r="C226" t="s">
        <v>169</v>
      </c>
      <c r="D226" t="s">
        <v>485</v>
      </c>
      <c r="E226">
        <v>44.4255304</v>
      </c>
      <c r="F226">
        <v>-68.364158099999997</v>
      </c>
      <c r="G226" t="s">
        <v>486</v>
      </c>
      <c r="H226" s="1">
        <v>43199</v>
      </c>
      <c r="I226">
        <v>6.9589041099999998</v>
      </c>
      <c r="J226">
        <v>1.256599727</v>
      </c>
      <c r="K226">
        <v>1.8006892329999999</v>
      </c>
      <c r="L226">
        <v>0.85213969899999997</v>
      </c>
      <c r="M226">
        <f t="shared" si="3"/>
        <v>-0.54408950599999995</v>
      </c>
      <c r="N226">
        <v>2.2599999999999998</v>
      </c>
      <c r="O226">
        <v>1.21</v>
      </c>
      <c r="P226">
        <v>-0.3</v>
      </c>
      <c r="Q226">
        <v>1.5</v>
      </c>
      <c r="R226">
        <v>-1.7</v>
      </c>
      <c r="S226">
        <v>-7.5999999999999998E-2</v>
      </c>
      <c r="T226">
        <v>3.2</v>
      </c>
      <c r="U226">
        <v>1.7945</v>
      </c>
      <c r="V226">
        <v>-9.2031249999999995E-2</v>
      </c>
      <c r="W226">
        <v>-107.9223822</v>
      </c>
      <c r="X226">
        <v>137.3723822</v>
      </c>
      <c r="Y226">
        <v>42.077617850000003</v>
      </c>
      <c r="Z226">
        <v>-0.59068923299999998</v>
      </c>
      <c r="AA226" t="s">
        <v>68</v>
      </c>
      <c r="AB226" t="s">
        <v>68</v>
      </c>
      <c r="AC226">
        <v>12.05</v>
      </c>
      <c r="AD226">
        <v>1216</v>
      </c>
      <c r="AE226">
        <v>1.51678023</v>
      </c>
      <c r="AF226">
        <v>2.4046287199999998</v>
      </c>
      <c r="AG226" t="s">
        <v>377</v>
      </c>
      <c r="AH226">
        <v>1</v>
      </c>
      <c r="AI226">
        <v>0</v>
      </c>
      <c r="AJ226">
        <v>0</v>
      </c>
      <c r="AK226">
        <v>0</v>
      </c>
      <c r="AL226" t="s">
        <v>155</v>
      </c>
      <c r="AM226" t="s">
        <v>335</v>
      </c>
      <c r="AN226">
        <v>-0.33189999999999997</v>
      </c>
      <c r="AO226">
        <v>0.99</v>
      </c>
      <c r="AP226">
        <v>22.897500000000001</v>
      </c>
      <c r="AQ226">
        <v>0.28000000000000003</v>
      </c>
      <c r="AR226">
        <v>2991</v>
      </c>
      <c r="AS226">
        <v>68.989153360000003</v>
      </c>
    </row>
    <row r="227" spans="1:45" x14ac:dyDescent="0.2">
      <c r="A227" t="s">
        <v>488</v>
      </c>
      <c r="B227" t="s">
        <v>332</v>
      </c>
      <c r="C227" t="s">
        <v>169</v>
      </c>
      <c r="D227" t="s">
        <v>485</v>
      </c>
      <c r="E227">
        <v>44.423185500000002</v>
      </c>
      <c r="F227">
        <v>-68.365536399999996</v>
      </c>
      <c r="G227" t="s">
        <v>486</v>
      </c>
      <c r="H227" s="1">
        <v>43199</v>
      </c>
      <c r="I227">
        <v>6.9589041099999998</v>
      </c>
      <c r="J227">
        <v>2.118068778</v>
      </c>
      <c r="K227">
        <v>0.49074504600000002</v>
      </c>
      <c r="L227">
        <v>0.144983748</v>
      </c>
      <c r="M227">
        <f t="shared" si="3"/>
        <v>1.627323732</v>
      </c>
      <c r="N227">
        <v>2.2599999999999998</v>
      </c>
      <c r="O227">
        <v>1.21</v>
      </c>
      <c r="P227">
        <v>-0.3</v>
      </c>
      <c r="Q227">
        <v>1.5</v>
      </c>
      <c r="R227">
        <v>-1.7</v>
      </c>
      <c r="S227">
        <v>-7.5999999999999998E-2</v>
      </c>
      <c r="T227">
        <v>3.2</v>
      </c>
      <c r="U227">
        <v>2.0880999999999998</v>
      </c>
      <c r="V227">
        <v>-0.18378125000000001</v>
      </c>
      <c r="W227">
        <v>-107.9223822</v>
      </c>
      <c r="X227">
        <v>166.73238219999999</v>
      </c>
      <c r="Y227">
        <v>42.077617850000003</v>
      </c>
      <c r="Z227">
        <v>0.71925495399999995</v>
      </c>
      <c r="AA227" t="s">
        <v>68</v>
      </c>
      <c r="AB227" t="s">
        <v>68</v>
      </c>
      <c r="AC227">
        <v>12.05</v>
      </c>
      <c r="AD227">
        <v>1216</v>
      </c>
      <c r="AE227">
        <v>1.51678023</v>
      </c>
      <c r="AF227">
        <v>2.4046287199999998</v>
      </c>
      <c r="AG227" t="s">
        <v>377</v>
      </c>
      <c r="AH227">
        <v>1</v>
      </c>
      <c r="AI227">
        <v>0</v>
      </c>
      <c r="AJ227">
        <v>0</v>
      </c>
      <c r="AK227">
        <v>0</v>
      </c>
      <c r="AL227" t="s">
        <v>155</v>
      </c>
      <c r="AM227" t="s">
        <v>335</v>
      </c>
      <c r="AN227">
        <v>-0.32800000000000001</v>
      </c>
      <c r="AO227">
        <v>0.8</v>
      </c>
      <c r="AP227">
        <v>11.4</v>
      </c>
      <c r="AQ227">
        <v>0.28000000000000003</v>
      </c>
      <c r="AR227">
        <v>942</v>
      </c>
      <c r="AS227">
        <v>34.756097560000001</v>
      </c>
    </row>
    <row r="228" spans="1:45" x14ac:dyDescent="0.2">
      <c r="A228" t="s">
        <v>489</v>
      </c>
      <c r="B228" t="s">
        <v>332</v>
      </c>
      <c r="C228" t="s">
        <v>169</v>
      </c>
      <c r="D228" t="s">
        <v>490</v>
      </c>
      <c r="E228">
        <v>42.291079000000003</v>
      </c>
      <c r="F228">
        <v>-70.940820000000002</v>
      </c>
      <c r="G228" t="s">
        <v>492</v>
      </c>
      <c r="H228" s="1">
        <v>43443</v>
      </c>
      <c r="I228">
        <v>8.4054794519999998</v>
      </c>
      <c r="J228">
        <v>1.5331036579999999</v>
      </c>
      <c r="K228">
        <v>0.91950990099999996</v>
      </c>
      <c r="L228">
        <v>0.38121459800000002</v>
      </c>
      <c r="M228">
        <f t="shared" si="3"/>
        <v>0.61359375699999996</v>
      </c>
      <c r="N228">
        <v>2.86</v>
      </c>
      <c r="O228">
        <v>-1.79</v>
      </c>
      <c r="P228">
        <v>0.92</v>
      </c>
      <c r="Q228">
        <v>1.319</v>
      </c>
      <c r="R228">
        <v>-1.5740000000000001</v>
      </c>
      <c r="S228">
        <v>-9.1999999999999998E-2</v>
      </c>
      <c r="T228">
        <v>2.8929999999999998</v>
      </c>
      <c r="U228">
        <v>1.5158</v>
      </c>
      <c r="V228">
        <v>-6.802627E-2</v>
      </c>
      <c r="W228">
        <v>-103.181741</v>
      </c>
      <c r="X228">
        <v>122.86174099999999</v>
      </c>
      <c r="Y228">
        <v>28.718259029999999</v>
      </c>
      <c r="Z228">
        <v>-2.7095099010000001</v>
      </c>
      <c r="AA228" t="s">
        <v>68</v>
      </c>
      <c r="AB228" t="s">
        <v>68</v>
      </c>
      <c r="AC228">
        <v>12.05</v>
      </c>
      <c r="AD228">
        <v>1216</v>
      </c>
      <c r="AE228">
        <v>1.526981667</v>
      </c>
      <c r="AF228">
        <v>0.48519626599999999</v>
      </c>
      <c r="AG228" t="s">
        <v>491</v>
      </c>
      <c r="AH228">
        <v>1</v>
      </c>
      <c r="AI228">
        <v>1</v>
      </c>
      <c r="AJ228">
        <v>0</v>
      </c>
      <c r="AK228">
        <v>0</v>
      </c>
      <c r="AL228" t="s">
        <v>155</v>
      </c>
      <c r="AM228" t="s">
        <v>335</v>
      </c>
      <c r="AN228">
        <v>-0.21379999999999999</v>
      </c>
      <c r="AO228">
        <v>0.75</v>
      </c>
      <c r="AP228">
        <v>1.7450000000000001</v>
      </c>
      <c r="AQ228">
        <v>0.14000000000000001</v>
      </c>
      <c r="AR228">
        <v>633</v>
      </c>
      <c r="AS228">
        <v>8.1618334889999993</v>
      </c>
    </row>
    <row r="229" spans="1:45" x14ac:dyDescent="0.2">
      <c r="A229" t="s">
        <v>493</v>
      </c>
      <c r="B229" t="s">
        <v>332</v>
      </c>
      <c r="C229" t="s">
        <v>169</v>
      </c>
      <c r="D229" t="s">
        <v>490</v>
      </c>
      <c r="E229">
        <v>42.290128000000003</v>
      </c>
      <c r="F229">
        <v>-70.941844000000003</v>
      </c>
      <c r="G229" t="s">
        <v>492</v>
      </c>
      <c r="H229" s="1">
        <v>43443</v>
      </c>
      <c r="I229">
        <v>8.4054794519999998</v>
      </c>
      <c r="J229">
        <v>1.524227878</v>
      </c>
      <c r="K229">
        <v>1.740076629</v>
      </c>
      <c r="L229">
        <v>0.96632132199999998</v>
      </c>
      <c r="M229">
        <f t="shared" si="3"/>
        <v>-0.21584875100000001</v>
      </c>
      <c r="N229">
        <v>2.86</v>
      </c>
      <c r="O229">
        <v>-1.79</v>
      </c>
      <c r="P229">
        <v>0.92</v>
      </c>
      <c r="Q229">
        <v>1.319</v>
      </c>
      <c r="R229">
        <v>-1.5740000000000001</v>
      </c>
      <c r="S229">
        <v>-9.1999999999999998E-2</v>
      </c>
      <c r="T229">
        <v>2.8929999999999998</v>
      </c>
      <c r="U229">
        <v>1.3733</v>
      </c>
      <c r="V229">
        <v>-1.8769443E-2</v>
      </c>
      <c r="W229">
        <v>-103.181741</v>
      </c>
      <c r="X229">
        <v>108.61174099999999</v>
      </c>
      <c r="Y229">
        <v>28.718259029999999</v>
      </c>
      <c r="Z229">
        <v>-3.5300766289999999</v>
      </c>
      <c r="AA229" t="s">
        <v>68</v>
      </c>
      <c r="AB229" t="s">
        <v>68</v>
      </c>
      <c r="AC229">
        <v>12.05</v>
      </c>
      <c r="AD229">
        <v>1216</v>
      </c>
      <c r="AE229">
        <v>1.526981667</v>
      </c>
      <c r="AF229">
        <v>0.48519626599999999</v>
      </c>
      <c r="AG229" t="s">
        <v>494</v>
      </c>
      <c r="AH229">
        <v>1</v>
      </c>
      <c r="AI229">
        <v>1</v>
      </c>
      <c r="AJ229">
        <v>0</v>
      </c>
      <c r="AK229">
        <v>0</v>
      </c>
      <c r="AL229" t="s">
        <v>155</v>
      </c>
      <c r="AM229" t="s">
        <v>335</v>
      </c>
      <c r="AN229">
        <v>-8.4000000000000005E-2</v>
      </c>
      <c r="AO229">
        <v>0.91</v>
      </c>
      <c r="AP229">
        <v>6.3724999999999996</v>
      </c>
      <c r="AQ229">
        <v>0.14000000000000001</v>
      </c>
      <c r="AR229">
        <v>970</v>
      </c>
      <c r="AS229">
        <v>75.863095240000007</v>
      </c>
    </row>
    <row r="230" spans="1:45" x14ac:dyDescent="0.2">
      <c r="A230" t="s">
        <v>495</v>
      </c>
      <c r="B230" t="s">
        <v>332</v>
      </c>
      <c r="C230" t="s">
        <v>169</v>
      </c>
      <c r="D230" t="s">
        <v>490</v>
      </c>
      <c r="E230">
        <v>42.289988000000001</v>
      </c>
      <c r="F230">
        <v>-70.942162999999994</v>
      </c>
      <c r="G230" t="s">
        <v>492</v>
      </c>
      <c r="H230" s="1">
        <v>43443</v>
      </c>
      <c r="I230">
        <v>8.4054794519999998</v>
      </c>
      <c r="J230">
        <v>1.149300727</v>
      </c>
      <c r="K230">
        <v>-0.33124774499999998</v>
      </c>
      <c r="L230">
        <v>0.37319109299999997</v>
      </c>
      <c r="M230">
        <f t="shared" si="3"/>
        <v>1.4805484719999999</v>
      </c>
      <c r="N230">
        <v>2.86</v>
      </c>
      <c r="O230">
        <v>-1.79</v>
      </c>
      <c r="P230">
        <v>0.92</v>
      </c>
      <c r="Q230">
        <v>1.319</v>
      </c>
      <c r="R230">
        <v>-1.5740000000000001</v>
      </c>
      <c r="S230">
        <v>-9.1999999999999998E-2</v>
      </c>
      <c r="T230">
        <v>2.8929999999999998</v>
      </c>
      <c r="U230">
        <v>1.5472999999999999</v>
      </c>
      <c r="V230">
        <v>-7.8914622000000004E-2</v>
      </c>
      <c r="W230">
        <v>-103.181741</v>
      </c>
      <c r="X230">
        <v>126.011741</v>
      </c>
      <c r="Y230">
        <v>28.718259029999999</v>
      </c>
      <c r="Z230">
        <v>-1.4587522550000001</v>
      </c>
      <c r="AA230" t="s">
        <v>68</v>
      </c>
      <c r="AB230" t="s">
        <v>68</v>
      </c>
      <c r="AC230">
        <v>14.88</v>
      </c>
      <c r="AD230">
        <v>1117.5</v>
      </c>
      <c r="AE230">
        <v>1.526981667</v>
      </c>
      <c r="AF230">
        <v>0.48519626599999999</v>
      </c>
      <c r="AG230" t="s">
        <v>496</v>
      </c>
      <c r="AH230">
        <v>1</v>
      </c>
      <c r="AI230">
        <v>1</v>
      </c>
      <c r="AJ230">
        <v>1</v>
      </c>
      <c r="AK230">
        <v>0</v>
      </c>
      <c r="AL230" t="s">
        <v>155</v>
      </c>
      <c r="AM230" t="s">
        <v>335</v>
      </c>
      <c r="AN230">
        <v>-1.5E-3</v>
      </c>
      <c r="AO230">
        <v>1.5E-3</v>
      </c>
      <c r="AP230">
        <v>6.7125000000000004</v>
      </c>
      <c r="AQ230">
        <v>0.14000000000000001</v>
      </c>
      <c r="AR230">
        <v>395</v>
      </c>
      <c r="AS230">
        <v>4475</v>
      </c>
    </row>
    <row r="231" spans="1:45" x14ac:dyDescent="0.2">
      <c r="A231" t="s">
        <v>497</v>
      </c>
      <c r="B231" t="s">
        <v>332</v>
      </c>
      <c r="C231" t="s">
        <v>169</v>
      </c>
      <c r="D231" t="s">
        <v>498</v>
      </c>
      <c r="E231">
        <v>42.314140000000002</v>
      </c>
      <c r="F231">
        <v>-71.012230000000002</v>
      </c>
      <c r="G231" t="s">
        <v>492</v>
      </c>
      <c r="H231" s="1">
        <v>43443</v>
      </c>
      <c r="I231">
        <v>8.4054794519999998</v>
      </c>
      <c r="J231">
        <v>5.3919930190000001</v>
      </c>
      <c r="K231">
        <v>4.7903561950000002</v>
      </c>
      <c r="L231">
        <v>0.92298708799999996</v>
      </c>
      <c r="M231">
        <f t="shared" si="3"/>
        <v>0.60163682399999985</v>
      </c>
      <c r="N231">
        <v>2.86</v>
      </c>
      <c r="O231">
        <v>-1.79</v>
      </c>
      <c r="P231">
        <v>0.08</v>
      </c>
      <c r="Q231">
        <v>1.319</v>
      </c>
      <c r="R231">
        <v>-1.5740000000000001</v>
      </c>
      <c r="S231">
        <v>-9.1999999999999998E-2</v>
      </c>
      <c r="T231">
        <v>2.8929999999999998</v>
      </c>
      <c r="U231">
        <v>1.0871</v>
      </c>
      <c r="V231">
        <v>8.0159004000000006E-2</v>
      </c>
      <c r="W231">
        <v>-103.181741</v>
      </c>
      <c r="X231">
        <v>79.991740969999995</v>
      </c>
      <c r="Y231">
        <v>28.718259029999999</v>
      </c>
      <c r="Z231">
        <v>-6.5803561950000002</v>
      </c>
      <c r="AA231" t="s">
        <v>68</v>
      </c>
      <c r="AB231" t="s">
        <v>68</v>
      </c>
      <c r="AC231">
        <v>14.88</v>
      </c>
      <c r="AD231">
        <v>1117.5</v>
      </c>
      <c r="AE231">
        <v>1.526981667</v>
      </c>
      <c r="AF231">
        <v>0.48519626599999999</v>
      </c>
      <c r="AG231" t="s">
        <v>341</v>
      </c>
      <c r="AH231">
        <v>0</v>
      </c>
      <c r="AI231">
        <v>0</v>
      </c>
      <c r="AJ231">
        <v>0</v>
      </c>
      <c r="AK231">
        <v>0</v>
      </c>
      <c r="AL231" t="s">
        <v>68</v>
      </c>
      <c r="AM231" t="s">
        <v>335</v>
      </c>
      <c r="AN231">
        <v>-9.9299999999999999E-2</v>
      </c>
      <c r="AO231">
        <v>0.55000000000000004</v>
      </c>
      <c r="AP231">
        <v>10</v>
      </c>
      <c r="AQ231">
        <v>0.42</v>
      </c>
      <c r="AR231">
        <v>1000</v>
      </c>
      <c r="AS231">
        <v>100.70493449999999</v>
      </c>
    </row>
    <row r="232" spans="1:45" x14ac:dyDescent="0.2">
      <c r="A232" t="s">
        <v>499</v>
      </c>
      <c r="B232" t="s">
        <v>332</v>
      </c>
      <c r="C232" t="s">
        <v>169</v>
      </c>
      <c r="D232" t="s">
        <v>498</v>
      </c>
      <c r="E232">
        <v>42.312440000000002</v>
      </c>
      <c r="F232">
        <v>-71.014837999999997</v>
      </c>
      <c r="G232" t="s">
        <v>492</v>
      </c>
      <c r="H232" s="1">
        <v>43443</v>
      </c>
      <c r="I232">
        <v>8.4054794519999998</v>
      </c>
      <c r="J232">
        <v>7.0201204979999998</v>
      </c>
      <c r="K232">
        <v>6.3719910290000001</v>
      </c>
      <c r="L232">
        <v>0.98557413500000002</v>
      </c>
      <c r="M232">
        <f t="shared" si="3"/>
        <v>0.64812946899999968</v>
      </c>
      <c r="N232">
        <v>2.86</v>
      </c>
      <c r="O232">
        <v>-1.79</v>
      </c>
      <c r="P232">
        <v>0.08</v>
      </c>
      <c r="Q232">
        <v>1.319</v>
      </c>
      <c r="R232">
        <v>-1.5740000000000001</v>
      </c>
      <c r="S232">
        <v>-9.1999999999999998E-2</v>
      </c>
      <c r="T232">
        <v>2.8929999999999998</v>
      </c>
      <c r="U232">
        <v>0.86140000000000005</v>
      </c>
      <c r="V232">
        <v>0.158174905</v>
      </c>
      <c r="W232">
        <v>-103.181741</v>
      </c>
      <c r="X232">
        <v>57.421740970000002</v>
      </c>
      <c r="Y232">
        <v>28.718259029999999</v>
      </c>
      <c r="Z232">
        <v>-8.1619910289999993</v>
      </c>
      <c r="AA232" t="s">
        <v>68</v>
      </c>
      <c r="AB232" t="s">
        <v>68</v>
      </c>
      <c r="AC232">
        <v>14.88</v>
      </c>
      <c r="AD232">
        <v>1117.5</v>
      </c>
      <c r="AE232">
        <v>1.526981667</v>
      </c>
      <c r="AF232">
        <v>0.48519626599999999</v>
      </c>
      <c r="AG232" t="s">
        <v>341</v>
      </c>
      <c r="AH232">
        <v>0</v>
      </c>
      <c r="AI232">
        <v>0</v>
      </c>
      <c r="AJ232">
        <v>0</v>
      </c>
      <c r="AK232">
        <v>0</v>
      </c>
      <c r="AL232" t="s">
        <v>68</v>
      </c>
      <c r="AM232" t="s">
        <v>335</v>
      </c>
      <c r="AN232">
        <v>-0.30570000000000003</v>
      </c>
      <c r="AO232">
        <v>0.99</v>
      </c>
      <c r="AP232">
        <v>5.9175000000000004</v>
      </c>
      <c r="AQ232">
        <v>0.42</v>
      </c>
      <c r="AR232">
        <v>1000</v>
      </c>
      <c r="AS232">
        <v>19.357212950000001</v>
      </c>
    </row>
    <row r="233" spans="1:45" x14ac:dyDescent="0.2">
      <c r="A233" t="s">
        <v>500</v>
      </c>
      <c r="B233" t="s">
        <v>332</v>
      </c>
      <c r="C233" t="s">
        <v>169</v>
      </c>
      <c r="D233" t="s">
        <v>498</v>
      </c>
      <c r="E233">
        <v>42.312869999999997</v>
      </c>
      <c r="F233">
        <v>-71.01446</v>
      </c>
      <c r="G233" t="s">
        <v>492</v>
      </c>
      <c r="H233" s="1">
        <v>43443</v>
      </c>
      <c r="I233">
        <v>8.4054794519999998</v>
      </c>
      <c r="J233">
        <v>6.1887075429999996</v>
      </c>
      <c r="K233">
        <v>7.001790422</v>
      </c>
      <c r="L233">
        <v>0.98191444699999997</v>
      </c>
      <c r="M233">
        <f t="shared" si="3"/>
        <v>-0.81308287900000042</v>
      </c>
      <c r="N233">
        <v>2.86</v>
      </c>
      <c r="O233">
        <v>-1.79</v>
      </c>
      <c r="P233">
        <v>0.08</v>
      </c>
      <c r="Q233">
        <v>1.319</v>
      </c>
      <c r="R233">
        <v>-1.5740000000000001</v>
      </c>
      <c r="S233">
        <v>-9.1999999999999998E-2</v>
      </c>
      <c r="T233">
        <v>2.8929999999999998</v>
      </c>
      <c r="U233">
        <v>1.0069999999999999</v>
      </c>
      <c r="V233">
        <v>0.107846526</v>
      </c>
      <c r="W233">
        <v>-103.181741</v>
      </c>
      <c r="X233">
        <v>71.981740970000004</v>
      </c>
      <c r="Y233">
        <v>28.718259029999999</v>
      </c>
      <c r="Z233">
        <v>-8.791790422</v>
      </c>
      <c r="AA233" t="s">
        <v>68</v>
      </c>
      <c r="AB233" t="s">
        <v>68</v>
      </c>
      <c r="AC233">
        <v>14.88</v>
      </c>
      <c r="AD233">
        <v>1117.5</v>
      </c>
      <c r="AE233">
        <v>1.526981667</v>
      </c>
      <c r="AF233">
        <v>0.48519626599999999</v>
      </c>
      <c r="AG233" t="s">
        <v>341</v>
      </c>
      <c r="AH233">
        <v>0</v>
      </c>
      <c r="AI233">
        <v>0</v>
      </c>
      <c r="AJ233">
        <v>0</v>
      </c>
      <c r="AK233">
        <v>0</v>
      </c>
      <c r="AL233" t="s">
        <v>68</v>
      </c>
      <c r="AM233" t="s">
        <v>335</v>
      </c>
      <c r="AN233">
        <v>-0.2044</v>
      </c>
      <c r="AO233">
        <v>0.89</v>
      </c>
      <c r="AP233">
        <v>5.7575000000000003</v>
      </c>
      <c r="AQ233">
        <v>0.42</v>
      </c>
      <c r="AR233">
        <v>1000</v>
      </c>
      <c r="AS233">
        <v>28.167808220000001</v>
      </c>
    </row>
    <row r="234" spans="1:45" x14ac:dyDescent="0.2">
      <c r="A234" t="s">
        <v>501</v>
      </c>
      <c r="B234" t="s">
        <v>332</v>
      </c>
      <c r="C234" t="s">
        <v>169</v>
      </c>
      <c r="D234" t="s">
        <v>498</v>
      </c>
      <c r="E234">
        <v>42.312930000000001</v>
      </c>
      <c r="F234">
        <v>-71.012200000000007</v>
      </c>
      <c r="G234" t="s">
        <v>492</v>
      </c>
      <c r="H234" s="1">
        <v>43443</v>
      </c>
      <c r="I234">
        <v>8.4054794519999998</v>
      </c>
      <c r="J234">
        <v>9.3672089300000003</v>
      </c>
      <c r="K234">
        <v>8.594907117</v>
      </c>
      <c r="L234">
        <v>0.95402019699999996</v>
      </c>
      <c r="M234">
        <f t="shared" si="3"/>
        <v>0.77230181300000034</v>
      </c>
      <c r="N234">
        <v>2.86</v>
      </c>
      <c r="O234">
        <v>-1.79</v>
      </c>
      <c r="P234">
        <v>0.08</v>
      </c>
      <c r="Q234">
        <v>1.319</v>
      </c>
      <c r="R234">
        <v>-1.5740000000000001</v>
      </c>
      <c r="S234">
        <v>-9.1999999999999998E-2</v>
      </c>
      <c r="T234">
        <v>2.8929999999999998</v>
      </c>
      <c r="U234">
        <v>1.0233000000000001</v>
      </c>
      <c r="V234">
        <v>0.102212236</v>
      </c>
      <c r="W234">
        <v>-103.181741</v>
      </c>
      <c r="X234">
        <v>73.61174097</v>
      </c>
      <c r="Y234">
        <v>28.718259029999999</v>
      </c>
      <c r="Z234">
        <v>-10.384907119999999</v>
      </c>
      <c r="AA234" t="s">
        <v>68</v>
      </c>
      <c r="AB234" t="s">
        <v>68</v>
      </c>
      <c r="AC234">
        <v>14.88</v>
      </c>
      <c r="AD234">
        <v>1117.5</v>
      </c>
      <c r="AE234">
        <v>1.526981667</v>
      </c>
      <c r="AF234">
        <v>0.48519626599999999</v>
      </c>
      <c r="AG234" t="s">
        <v>341</v>
      </c>
      <c r="AH234">
        <v>0</v>
      </c>
      <c r="AI234">
        <v>0</v>
      </c>
      <c r="AJ234">
        <v>0</v>
      </c>
      <c r="AK234">
        <v>0</v>
      </c>
      <c r="AL234" t="s">
        <v>68</v>
      </c>
      <c r="AM234" t="s">
        <v>335</v>
      </c>
      <c r="AN234">
        <v>-2.76E-2</v>
      </c>
      <c r="AO234">
        <v>0.21</v>
      </c>
      <c r="AP234">
        <v>4.7324999999999999</v>
      </c>
      <c r="AQ234">
        <v>0.42</v>
      </c>
      <c r="AR234">
        <v>1000</v>
      </c>
      <c r="AS234">
        <v>171.4673913</v>
      </c>
    </row>
    <row r="235" spans="1:45" x14ac:dyDescent="0.2">
      <c r="A235" t="s">
        <v>502</v>
      </c>
      <c r="B235" t="s">
        <v>332</v>
      </c>
      <c r="C235" t="s">
        <v>169</v>
      </c>
      <c r="D235" t="s">
        <v>503</v>
      </c>
      <c r="E235">
        <v>40.449669999999998</v>
      </c>
      <c r="F235">
        <v>-74.000820000000004</v>
      </c>
      <c r="G235" t="s">
        <v>504</v>
      </c>
      <c r="H235" t="s">
        <v>505</v>
      </c>
      <c r="I235">
        <v>15.471232880000001</v>
      </c>
      <c r="J235">
        <v>4.6625949560000004</v>
      </c>
      <c r="K235">
        <v>4.3867159320000004</v>
      </c>
      <c r="L235">
        <v>0.90928742699999998</v>
      </c>
      <c r="M235">
        <f t="shared" si="3"/>
        <v>0.27587902399999997</v>
      </c>
      <c r="N235">
        <v>4.12</v>
      </c>
      <c r="O235">
        <v>4.0999999999999996</v>
      </c>
      <c r="P235">
        <v>1.48</v>
      </c>
      <c r="Q235">
        <v>0.78500000000000003</v>
      </c>
      <c r="R235">
        <v>-0.36099999999999999</v>
      </c>
      <c r="S235">
        <v>9.0999999999999998E-2</v>
      </c>
      <c r="T235">
        <v>1.1459999999999999</v>
      </c>
      <c r="U235">
        <v>0.49530000000000002</v>
      </c>
      <c r="V235">
        <v>0.25279232099999999</v>
      </c>
      <c r="W235">
        <v>-59.655551170000003</v>
      </c>
      <c r="X235">
        <v>30.68555117</v>
      </c>
      <c r="Y235">
        <v>18.844448830000001</v>
      </c>
      <c r="Z235">
        <v>-0.28671593200000001</v>
      </c>
      <c r="AA235" t="s">
        <v>68</v>
      </c>
      <c r="AB235" t="s">
        <v>68</v>
      </c>
      <c r="AC235">
        <v>16.5</v>
      </c>
      <c r="AD235">
        <v>1184.4000000000001</v>
      </c>
      <c r="AE235">
        <v>5.7770552540000004</v>
      </c>
      <c r="AF235">
        <v>2.8708622309999998</v>
      </c>
      <c r="AG235" t="s">
        <v>341</v>
      </c>
      <c r="AH235">
        <v>1</v>
      </c>
      <c r="AI235">
        <v>0</v>
      </c>
      <c r="AJ235">
        <v>0</v>
      </c>
      <c r="AK235">
        <v>0</v>
      </c>
      <c r="AL235" t="s">
        <v>155</v>
      </c>
      <c r="AM235" t="s">
        <v>335</v>
      </c>
      <c r="AN235">
        <v>-0.31190000000000001</v>
      </c>
      <c r="AO235">
        <v>0.91</v>
      </c>
      <c r="AP235">
        <v>20.9725</v>
      </c>
      <c r="AQ235">
        <v>0.3</v>
      </c>
      <c r="AR235">
        <v>1000</v>
      </c>
      <c r="AS235">
        <v>67.241102920000003</v>
      </c>
    </row>
    <row r="236" spans="1:45" x14ac:dyDescent="0.2">
      <c r="A236" t="s">
        <v>506</v>
      </c>
      <c r="B236" t="s">
        <v>332</v>
      </c>
      <c r="C236" t="s">
        <v>169</v>
      </c>
      <c r="D236" t="s">
        <v>503</v>
      </c>
      <c r="E236">
        <v>40.449420000000003</v>
      </c>
      <c r="F236">
        <v>-74.000979999999998</v>
      </c>
      <c r="G236" t="s">
        <v>504</v>
      </c>
      <c r="H236" t="s">
        <v>505</v>
      </c>
      <c r="I236">
        <v>15.471232880000001</v>
      </c>
      <c r="J236">
        <v>4.812762888</v>
      </c>
      <c r="K236">
        <v>5.372664865</v>
      </c>
      <c r="L236">
        <v>0.95522667800000005</v>
      </c>
      <c r="M236">
        <f t="shared" si="3"/>
        <v>-0.559901977</v>
      </c>
      <c r="N236">
        <v>4.12</v>
      </c>
      <c r="O236">
        <v>4.0999999999999996</v>
      </c>
      <c r="P236">
        <v>1.48</v>
      </c>
      <c r="Q236">
        <v>0.78500000000000003</v>
      </c>
      <c r="R236">
        <v>-0.36099999999999999</v>
      </c>
      <c r="S236">
        <v>9.0999999999999998E-2</v>
      </c>
      <c r="T236">
        <v>1.1459999999999999</v>
      </c>
      <c r="U236">
        <v>0.59670000000000001</v>
      </c>
      <c r="V236">
        <v>0.164310646</v>
      </c>
      <c r="W236">
        <v>-59.655551170000003</v>
      </c>
      <c r="X236">
        <v>40.825551169999997</v>
      </c>
      <c r="Y236">
        <v>18.844448830000001</v>
      </c>
      <c r="Z236">
        <v>-1.2726648650000001</v>
      </c>
      <c r="AA236" t="s">
        <v>68</v>
      </c>
      <c r="AB236" t="s">
        <v>68</v>
      </c>
      <c r="AC236">
        <v>16.5</v>
      </c>
      <c r="AD236">
        <v>1184.4000000000001</v>
      </c>
      <c r="AE236">
        <v>5.2561909309999999</v>
      </c>
      <c r="AF236">
        <v>3.2880358379999999</v>
      </c>
      <c r="AG236" t="s">
        <v>341</v>
      </c>
      <c r="AH236">
        <v>1</v>
      </c>
      <c r="AI236">
        <v>0</v>
      </c>
      <c r="AJ236">
        <v>0</v>
      </c>
      <c r="AK236">
        <v>0</v>
      </c>
      <c r="AL236" t="s">
        <v>155</v>
      </c>
      <c r="AM236" t="s">
        <v>335</v>
      </c>
      <c r="AN236">
        <v>-0.38400000000000001</v>
      </c>
      <c r="AO236">
        <v>0.8</v>
      </c>
      <c r="AP236">
        <v>37.229999999999997</v>
      </c>
      <c r="AQ236">
        <v>0.3</v>
      </c>
      <c r="AR236">
        <v>1000</v>
      </c>
      <c r="AS236">
        <v>96.953125</v>
      </c>
    </row>
    <row r="237" spans="1:45" x14ac:dyDescent="0.2">
      <c r="A237" t="s">
        <v>507</v>
      </c>
      <c r="B237" t="s">
        <v>332</v>
      </c>
      <c r="C237" t="s">
        <v>169</v>
      </c>
      <c r="D237" t="s">
        <v>503</v>
      </c>
      <c r="E237">
        <v>40.449309999999997</v>
      </c>
      <c r="F237">
        <v>-74.00112</v>
      </c>
      <c r="G237" t="s">
        <v>504</v>
      </c>
      <c r="H237" t="s">
        <v>505</v>
      </c>
      <c r="I237">
        <v>15.471232880000001</v>
      </c>
      <c r="J237">
        <v>3.6067477060000002</v>
      </c>
      <c r="K237">
        <v>2.7392499680000002</v>
      </c>
      <c r="L237">
        <v>0.77523169800000002</v>
      </c>
      <c r="M237">
        <f t="shared" si="3"/>
        <v>0.86749773799999996</v>
      </c>
      <c r="N237">
        <v>4.12</v>
      </c>
      <c r="O237">
        <v>4.0999999999999996</v>
      </c>
      <c r="P237">
        <v>1.48</v>
      </c>
      <c r="Q237">
        <v>0.78500000000000003</v>
      </c>
      <c r="R237">
        <v>-0.36099999999999999</v>
      </c>
      <c r="S237">
        <v>9.0999999999999998E-2</v>
      </c>
      <c r="T237">
        <v>1.1459999999999999</v>
      </c>
      <c r="U237">
        <v>0.55479999999999996</v>
      </c>
      <c r="V237">
        <v>0.20087260000000001</v>
      </c>
      <c r="W237">
        <v>-59.655551170000003</v>
      </c>
      <c r="X237">
        <v>36.635551169999999</v>
      </c>
      <c r="Y237">
        <v>18.844448830000001</v>
      </c>
      <c r="Z237">
        <v>1.3607500320000001</v>
      </c>
      <c r="AA237" t="s">
        <v>68</v>
      </c>
      <c r="AB237" t="s">
        <v>68</v>
      </c>
      <c r="AC237">
        <v>16.5</v>
      </c>
      <c r="AD237">
        <v>1184.4000000000001</v>
      </c>
      <c r="AE237">
        <v>5.2561909309999999</v>
      </c>
      <c r="AF237">
        <v>3.2880358379999999</v>
      </c>
      <c r="AG237" t="s">
        <v>341</v>
      </c>
      <c r="AH237">
        <v>1</v>
      </c>
      <c r="AI237">
        <v>0</v>
      </c>
      <c r="AJ237">
        <v>0</v>
      </c>
      <c r="AK237">
        <v>0</v>
      </c>
      <c r="AL237" t="s">
        <v>155</v>
      </c>
      <c r="AM237" t="s">
        <v>335</v>
      </c>
      <c r="AN237">
        <v>-0.32019999999999998</v>
      </c>
      <c r="AO237">
        <v>0.74</v>
      </c>
      <c r="AP237">
        <v>37.630000000000003</v>
      </c>
      <c r="AQ237">
        <v>0.3</v>
      </c>
      <c r="AR237">
        <v>265</v>
      </c>
      <c r="AS237">
        <v>117.5202998</v>
      </c>
    </row>
    <row r="238" spans="1:45" x14ac:dyDescent="0.2">
      <c r="A238" t="s">
        <v>508</v>
      </c>
      <c r="B238" t="s">
        <v>332</v>
      </c>
      <c r="C238" t="s">
        <v>169</v>
      </c>
      <c r="D238" t="s">
        <v>509</v>
      </c>
      <c r="E238">
        <v>40.694449400000003</v>
      </c>
      <c r="F238">
        <v>-72.982987800000004</v>
      </c>
      <c r="G238" t="s">
        <v>449</v>
      </c>
      <c r="H238" s="1">
        <v>43200</v>
      </c>
      <c r="I238">
        <v>16.14794521</v>
      </c>
      <c r="J238">
        <v>3.847248467</v>
      </c>
      <c r="K238">
        <v>3.5990355379999999</v>
      </c>
      <c r="L238">
        <v>0.96031770999999999</v>
      </c>
      <c r="M238">
        <f t="shared" si="3"/>
        <v>0.24821292900000014</v>
      </c>
      <c r="N238">
        <v>4.12</v>
      </c>
      <c r="O238">
        <v>4.6399999999999997</v>
      </c>
      <c r="P238">
        <v>1.33</v>
      </c>
      <c r="Q238">
        <v>0.32200000000000001</v>
      </c>
      <c r="R238">
        <v>-0.08</v>
      </c>
      <c r="S238">
        <v>0.121</v>
      </c>
      <c r="T238">
        <v>0.40200000000000002</v>
      </c>
      <c r="U238">
        <v>0.27329999999999999</v>
      </c>
      <c r="V238">
        <v>0.12114427899999999</v>
      </c>
      <c r="W238">
        <v>-10.415385730000001</v>
      </c>
      <c r="X238">
        <v>5.545385725</v>
      </c>
      <c r="Y238">
        <v>21.784614269999999</v>
      </c>
      <c r="Z238">
        <v>1.040964462</v>
      </c>
      <c r="AA238">
        <v>65.44</v>
      </c>
      <c r="AB238">
        <v>0.12758488300000001</v>
      </c>
      <c r="AC238">
        <v>15.94</v>
      </c>
      <c r="AD238">
        <v>1196.5</v>
      </c>
      <c r="AE238">
        <v>7.949960967</v>
      </c>
      <c r="AF238">
        <v>5.1878468360000003</v>
      </c>
      <c r="AG238" t="s">
        <v>446</v>
      </c>
      <c r="AH238">
        <v>1</v>
      </c>
      <c r="AI238">
        <v>0</v>
      </c>
      <c r="AJ238">
        <v>0</v>
      </c>
      <c r="AK238">
        <v>0</v>
      </c>
      <c r="AL238" t="s">
        <v>155</v>
      </c>
      <c r="AM238" t="s">
        <v>146</v>
      </c>
      <c r="AN238">
        <v>-0.36199999999999999</v>
      </c>
      <c r="AO238">
        <v>0.83499999999999996</v>
      </c>
      <c r="AP238">
        <v>46.055</v>
      </c>
      <c r="AQ238">
        <v>0.13</v>
      </c>
      <c r="AR238">
        <v>106</v>
      </c>
      <c r="AS238">
        <v>127.2237569</v>
      </c>
    </row>
    <row r="239" spans="1:45" x14ac:dyDescent="0.2">
      <c r="A239" t="s">
        <v>510</v>
      </c>
      <c r="B239" t="s">
        <v>332</v>
      </c>
      <c r="C239" t="s">
        <v>169</v>
      </c>
      <c r="D239" t="s">
        <v>509</v>
      </c>
      <c r="E239">
        <v>40.6946522</v>
      </c>
      <c r="F239">
        <v>-72.9827449</v>
      </c>
      <c r="G239" t="s">
        <v>449</v>
      </c>
      <c r="H239" s="1">
        <v>43200</v>
      </c>
      <c r="I239">
        <v>16.14794521</v>
      </c>
      <c r="J239">
        <v>3.4819419730000001</v>
      </c>
      <c r="K239">
        <v>3.9329661100000002</v>
      </c>
      <c r="L239">
        <v>0.92888654400000004</v>
      </c>
      <c r="M239">
        <f t="shared" si="3"/>
        <v>-0.4510241370000001</v>
      </c>
      <c r="N239">
        <v>4.12</v>
      </c>
      <c r="O239">
        <v>4.6399999999999997</v>
      </c>
      <c r="P239">
        <v>1.33</v>
      </c>
      <c r="Q239">
        <v>0.32200000000000001</v>
      </c>
      <c r="R239">
        <v>-0.08</v>
      </c>
      <c r="S239">
        <v>0.121</v>
      </c>
      <c r="T239">
        <v>0.40200000000000002</v>
      </c>
      <c r="U239">
        <v>0.27539999999999998</v>
      </c>
      <c r="V239">
        <v>0.11592039799999999</v>
      </c>
      <c r="W239">
        <v>-10.415385730000001</v>
      </c>
      <c r="X239">
        <v>5.755385725</v>
      </c>
      <c r="Y239">
        <v>21.784614269999999</v>
      </c>
      <c r="Z239">
        <v>0.70703389000000005</v>
      </c>
      <c r="AA239">
        <v>62.59</v>
      </c>
      <c r="AB239">
        <v>0.108602037</v>
      </c>
      <c r="AC239">
        <v>15.94</v>
      </c>
      <c r="AD239">
        <v>1196.5</v>
      </c>
      <c r="AE239">
        <v>4.5700133110000003</v>
      </c>
      <c r="AF239">
        <v>2.5564459190000002</v>
      </c>
      <c r="AG239" t="s">
        <v>446</v>
      </c>
      <c r="AH239">
        <v>1</v>
      </c>
      <c r="AI239">
        <v>0</v>
      </c>
      <c r="AJ239">
        <v>0</v>
      </c>
      <c r="AK239">
        <v>0</v>
      </c>
      <c r="AL239" t="s">
        <v>155</v>
      </c>
      <c r="AM239" t="s">
        <v>146</v>
      </c>
      <c r="AN239">
        <v>-0.60850000000000004</v>
      </c>
      <c r="AO239">
        <v>0.94</v>
      </c>
      <c r="AP239">
        <v>71.002499999999998</v>
      </c>
      <c r="AQ239">
        <v>0.13</v>
      </c>
      <c r="AR239">
        <v>308</v>
      </c>
      <c r="AS239">
        <v>116.68447</v>
      </c>
    </row>
    <row r="240" spans="1:45" x14ac:dyDescent="0.2">
      <c r="A240" t="s">
        <v>511</v>
      </c>
      <c r="B240" t="s">
        <v>332</v>
      </c>
      <c r="C240" t="s">
        <v>169</v>
      </c>
      <c r="D240" t="s">
        <v>509</v>
      </c>
      <c r="E240">
        <v>40.694734099999998</v>
      </c>
      <c r="F240">
        <v>-72.982289499999993</v>
      </c>
      <c r="G240" t="s">
        <v>449</v>
      </c>
      <c r="H240" s="1">
        <v>43200</v>
      </c>
      <c r="I240">
        <v>16.14794521</v>
      </c>
      <c r="J240">
        <v>4.8542925190000004</v>
      </c>
      <c r="K240">
        <v>5.4073828629999996</v>
      </c>
      <c r="L240">
        <v>0.89818372099999999</v>
      </c>
      <c r="M240">
        <f t="shared" si="3"/>
        <v>-0.55309034399999923</v>
      </c>
      <c r="N240">
        <v>4.12</v>
      </c>
      <c r="O240">
        <v>4.6399999999999997</v>
      </c>
      <c r="P240">
        <v>1.33</v>
      </c>
      <c r="Q240">
        <v>0.32200000000000001</v>
      </c>
      <c r="R240">
        <v>-0.08</v>
      </c>
      <c r="S240">
        <v>0.121</v>
      </c>
      <c r="T240">
        <v>0.40200000000000002</v>
      </c>
      <c r="U240">
        <v>0.2772</v>
      </c>
      <c r="V240">
        <v>0.111442786</v>
      </c>
      <c r="W240">
        <v>-10.415385730000001</v>
      </c>
      <c r="X240">
        <v>5.9353857249999997</v>
      </c>
      <c r="Y240">
        <v>21.784614269999999</v>
      </c>
      <c r="Z240">
        <v>-0.76738286300000003</v>
      </c>
      <c r="AA240">
        <v>54.33</v>
      </c>
      <c r="AB240">
        <v>0.120184163</v>
      </c>
      <c r="AC240">
        <v>15.94</v>
      </c>
      <c r="AD240">
        <v>1196.5</v>
      </c>
      <c r="AE240">
        <v>4.5700133110000003</v>
      </c>
      <c r="AF240">
        <v>2.5564459190000002</v>
      </c>
      <c r="AG240" t="s">
        <v>446</v>
      </c>
      <c r="AH240">
        <v>1</v>
      </c>
      <c r="AI240">
        <v>0</v>
      </c>
      <c r="AJ240">
        <v>0</v>
      </c>
      <c r="AK240">
        <v>0</v>
      </c>
      <c r="AL240" t="s">
        <v>155</v>
      </c>
      <c r="AM240" t="s">
        <v>146</v>
      </c>
      <c r="AN240">
        <v>-0.626</v>
      </c>
      <c r="AO240">
        <v>0.89700000000000002</v>
      </c>
      <c r="AP240">
        <v>86.394999999999996</v>
      </c>
      <c r="AQ240">
        <v>0.13</v>
      </c>
      <c r="AR240">
        <v>1000</v>
      </c>
      <c r="AS240">
        <v>138.01118210000001</v>
      </c>
    </row>
    <row r="241" spans="1:45" x14ac:dyDescent="0.2">
      <c r="A241" t="s">
        <v>512</v>
      </c>
      <c r="B241" t="s">
        <v>513</v>
      </c>
      <c r="C241" t="s">
        <v>514</v>
      </c>
      <c r="D241" t="s">
        <v>515</v>
      </c>
      <c r="E241">
        <v>-34.985216149999999</v>
      </c>
      <c r="F241">
        <v>150.77569990000001</v>
      </c>
      <c r="G241" s="1">
        <v>36930</v>
      </c>
      <c r="H241" s="1">
        <v>43924</v>
      </c>
      <c r="I241">
        <v>18.600000000000001</v>
      </c>
      <c r="J241">
        <v>1.39</v>
      </c>
      <c r="K241">
        <v>1.3535415319999999</v>
      </c>
      <c r="L241">
        <v>0.79207464400000005</v>
      </c>
      <c r="M241">
        <f t="shared" si="3"/>
        <v>3.6458467999999966E-2</v>
      </c>
      <c r="N241">
        <v>1.54</v>
      </c>
      <c r="O241">
        <v>2.38</v>
      </c>
      <c r="P241">
        <v>-0.34</v>
      </c>
      <c r="Q241">
        <v>0.5</v>
      </c>
      <c r="R241">
        <v>-0.49</v>
      </c>
      <c r="S241">
        <v>0</v>
      </c>
      <c r="T241">
        <v>0.99</v>
      </c>
      <c r="U241">
        <v>0.876</v>
      </c>
      <c r="V241">
        <v>-0.37979797999999998</v>
      </c>
      <c r="W241">
        <v>-52.777597110000002</v>
      </c>
      <c r="X241">
        <v>90.377597109999996</v>
      </c>
      <c r="Y241">
        <v>-2.777597111</v>
      </c>
      <c r="Z241">
        <v>1.026458468</v>
      </c>
      <c r="AA241">
        <v>14.1</v>
      </c>
      <c r="AB241">
        <v>2.62</v>
      </c>
      <c r="AC241">
        <v>20.7</v>
      </c>
      <c r="AD241">
        <v>1212</v>
      </c>
      <c r="AE241">
        <v>0.40825011</v>
      </c>
      <c r="AF241">
        <v>0.147438916</v>
      </c>
      <c r="AG241" t="s">
        <v>516</v>
      </c>
      <c r="AH241">
        <v>0</v>
      </c>
      <c r="AI241">
        <v>1</v>
      </c>
      <c r="AJ241">
        <v>0</v>
      </c>
      <c r="AK241">
        <v>0</v>
      </c>
      <c r="AL241" t="s">
        <v>54</v>
      </c>
      <c r="AM241" t="s">
        <v>146</v>
      </c>
      <c r="AN241">
        <v>-7.1400000000000005E-2</v>
      </c>
      <c r="AO241">
        <v>0.43</v>
      </c>
      <c r="AP241">
        <v>501.33333329999999</v>
      </c>
      <c r="AQ241">
        <v>0.11600000000000001</v>
      </c>
      <c r="AR241">
        <v>4847</v>
      </c>
      <c r="AS241">
        <v>7021.4752559999997</v>
      </c>
    </row>
    <row r="242" spans="1:45" x14ac:dyDescent="0.2">
      <c r="A242" t="s">
        <v>517</v>
      </c>
      <c r="B242" t="s">
        <v>513</v>
      </c>
      <c r="C242" t="s">
        <v>514</v>
      </c>
      <c r="D242" t="s">
        <v>515</v>
      </c>
      <c r="E242">
        <v>-34.985267489999998</v>
      </c>
      <c r="F242">
        <v>150.77539659999999</v>
      </c>
      <c r="G242" s="1">
        <v>36930</v>
      </c>
      <c r="H242" s="1">
        <v>43924</v>
      </c>
      <c r="I242">
        <v>18.600000000000001</v>
      </c>
      <c r="J242">
        <v>0.99</v>
      </c>
      <c r="K242">
        <v>0.93363909</v>
      </c>
      <c r="L242">
        <v>0.57976483099999998</v>
      </c>
      <c r="M242">
        <f t="shared" si="3"/>
        <v>5.6360909999999986E-2</v>
      </c>
      <c r="N242">
        <v>1.54</v>
      </c>
      <c r="O242">
        <v>2.38</v>
      </c>
      <c r="P242">
        <v>-0.34</v>
      </c>
      <c r="Q242">
        <v>0.5</v>
      </c>
      <c r="R242">
        <v>-0.49</v>
      </c>
      <c r="S242">
        <v>0</v>
      </c>
      <c r="T242">
        <v>0.99</v>
      </c>
      <c r="U242">
        <v>0.879</v>
      </c>
      <c r="V242">
        <v>-0.38282828299999999</v>
      </c>
      <c r="W242">
        <v>-52.777597110000002</v>
      </c>
      <c r="X242">
        <v>90.677597109999994</v>
      </c>
      <c r="Y242">
        <v>-2.777597111</v>
      </c>
      <c r="Z242">
        <v>1.4463609100000001</v>
      </c>
      <c r="AA242">
        <v>14.1</v>
      </c>
      <c r="AB242">
        <v>2.62</v>
      </c>
      <c r="AC242">
        <v>20.7</v>
      </c>
      <c r="AD242">
        <v>1212</v>
      </c>
      <c r="AE242">
        <v>0.67951210500000003</v>
      </c>
      <c r="AF242">
        <v>0.36729177499999999</v>
      </c>
      <c r="AG242" t="s">
        <v>516</v>
      </c>
      <c r="AH242">
        <v>0</v>
      </c>
      <c r="AI242">
        <v>1</v>
      </c>
      <c r="AJ242">
        <v>0</v>
      </c>
      <c r="AK242">
        <v>0</v>
      </c>
      <c r="AL242" t="s">
        <v>54</v>
      </c>
      <c r="AM242" t="s">
        <v>146</v>
      </c>
      <c r="AN242">
        <v>-0.1429</v>
      </c>
      <c r="AO242">
        <v>0.43</v>
      </c>
      <c r="AP242">
        <v>464.66666670000001</v>
      </c>
      <c r="AQ242">
        <v>0.11600000000000001</v>
      </c>
      <c r="AR242">
        <v>1495</v>
      </c>
      <c r="AS242">
        <v>3251.6911599999999</v>
      </c>
    </row>
    <row r="243" spans="1:45" x14ac:dyDescent="0.2">
      <c r="A243" t="s">
        <v>518</v>
      </c>
      <c r="B243" t="s">
        <v>513</v>
      </c>
      <c r="C243" t="s">
        <v>514</v>
      </c>
      <c r="D243" t="s">
        <v>515</v>
      </c>
      <c r="E243">
        <v>-34.985246910000001</v>
      </c>
      <c r="F243">
        <v>150.77506589999999</v>
      </c>
      <c r="G243" s="1">
        <v>36930</v>
      </c>
      <c r="H243" s="1">
        <v>43924</v>
      </c>
      <c r="I243">
        <v>18.600000000000001</v>
      </c>
      <c r="J243">
        <v>0.28999999999999998</v>
      </c>
      <c r="K243">
        <v>1.1489335490000001</v>
      </c>
      <c r="L243">
        <v>0.65165046000000004</v>
      </c>
      <c r="M243">
        <f t="shared" si="3"/>
        <v>-0.85893354900000007</v>
      </c>
      <c r="N243">
        <v>1.54</v>
      </c>
      <c r="O243">
        <v>2.38</v>
      </c>
      <c r="P243">
        <v>-0.34</v>
      </c>
      <c r="Q243">
        <v>0.5</v>
      </c>
      <c r="R243">
        <v>-0.49</v>
      </c>
      <c r="S243">
        <v>0</v>
      </c>
      <c r="T243">
        <v>0.99</v>
      </c>
      <c r="U243">
        <v>0.86799999999999999</v>
      </c>
      <c r="V243">
        <v>-0.37171717199999998</v>
      </c>
      <c r="W243">
        <v>-52.777597110000002</v>
      </c>
      <c r="X243">
        <v>89.577597109999999</v>
      </c>
      <c r="Y243">
        <v>-2.777597111</v>
      </c>
      <c r="Z243">
        <v>1.231066451</v>
      </c>
      <c r="AA243">
        <v>14.1</v>
      </c>
      <c r="AB243">
        <v>2.62</v>
      </c>
      <c r="AC243">
        <v>20.7</v>
      </c>
      <c r="AD243">
        <v>1212</v>
      </c>
      <c r="AE243">
        <v>0.67951210500000003</v>
      </c>
      <c r="AF243">
        <v>0.36729177499999999</v>
      </c>
      <c r="AG243" t="s">
        <v>516</v>
      </c>
      <c r="AH243">
        <v>0</v>
      </c>
      <c r="AI243">
        <v>1</v>
      </c>
      <c r="AJ243">
        <v>0</v>
      </c>
      <c r="AK243">
        <v>0</v>
      </c>
      <c r="AL243" t="s">
        <v>54</v>
      </c>
      <c r="AM243" t="s">
        <v>146</v>
      </c>
      <c r="AN243">
        <v>-7.1400000000000005E-2</v>
      </c>
      <c r="AO243">
        <v>0.42</v>
      </c>
      <c r="AP243">
        <v>451.33333329999999</v>
      </c>
      <c r="AQ243">
        <v>0.11600000000000001</v>
      </c>
      <c r="AR243">
        <v>2291</v>
      </c>
      <c r="AS243">
        <v>6321.1951440000003</v>
      </c>
    </row>
    <row r="244" spans="1:45" x14ac:dyDescent="0.2">
      <c r="A244" t="s">
        <v>519</v>
      </c>
      <c r="B244" t="s">
        <v>513</v>
      </c>
      <c r="C244" t="s">
        <v>514</v>
      </c>
      <c r="D244" t="s">
        <v>520</v>
      </c>
      <c r="E244">
        <v>-35.015085040000002</v>
      </c>
      <c r="F244">
        <v>150.66650749999999</v>
      </c>
      <c r="G244" s="1">
        <v>36952</v>
      </c>
      <c r="H244" s="1">
        <v>40306</v>
      </c>
      <c r="I244">
        <v>9.5068493150000002</v>
      </c>
      <c r="J244" t="s">
        <v>68</v>
      </c>
      <c r="K244">
        <v>8.8387059000000004E-2</v>
      </c>
      <c r="L244">
        <v>4.1376720999999998E-2</v>
      </c>
      <c r="M244" t="s">
        <v>68</v>
      </c>
      <c r="N244">
        <v>1.54</v>
      </c>
      <c r="O244">
        <v>2.38</v>
      </c>
      <c r="P244">
        <v>-0.34</v>
      </c>
      <c r="Q244">
        <v>0.5</v>
      </c>
      <c r="R244">
        <v>-0.49</v>
      </c>
      <c r="S244">
        <v>0</v>
      </c>
      <c r="T244">
        <v>0.99</v>
      </c>
      <c r="U244">
        <v>0.65139999999999998</v>
      </c>
      <c r="V244">
        <v>-0.15292929299999999</v>
      </c>
      <c r="W244">
        <v>-52.777597110000002</v>
      </c>
      <c r="X244">
        <v>67.917597110000003</v>
      </c>
      <c r="Y244">
        <v>-2.777597111</v>
      </c>
      <c r="Z244">
        <v>2.2916129409999999</v>
      </c>
      <c r="AA244">
        <v>8.23</v>
      </c>
      <c r="AB244">
        <v>1.06</v>
      </c>
      <c r="AC244">
        <v>20.7</v>
      </c>
      <c r="AD244">
        <v>1212</v>
      </c>
      <c r="AE244">
        <v>0.83846410100000002</v>
      </c>
      <c r="AF244">
        <v>0.37070602400000002</v>
      </c>
      <c r="AG244" t="s">
        <v>521</v>
      </c>
      <c r="AH244">
        <v>0</v>
      </c>
      <c r="AI244">
        <v>1</v>
      </c>
      <c r="AJ244">
        <v>0</v>
      </c>
      <c r="AK244">
        <v>1</v>
      </c>
      <c r="AL244" t="s">
        <v>54</v>
      </c>
      <c r="AM244" t="s">
        <v>275</v>
      </c>
      <c r="AN244">
        <v>-0.23080000000000001</v>
      </c>
      <c r="AO244">
        <v>0.05</v>
      </c>
      <c r="AP244">
        <v>391.52499999999998</v>
      </c>
      <c r="AQ244">
        <v>5.0000000000000001E-3</v>
      </c>
      <c r="AR244">
        <v>468</v>
      </c>
      <c r="AS244">
        <v>1696.382149</v>
      </c>
    </row>
    <row r="245" spans="1:45" x14ac:dyDescent="0.2">
      <c r="A245" t="s">
        <v>522</v>
      </c>
      <c r="B245" t="s">
        <v>513</v>
      </c>
      <c r="C245" t="s">
        <v>514</v>
      </c>
      <c r="D245" t="s">
        <v>520</v>
      </c>
      <c r="E245">
        <v>-35.010550729999999</v>
      </c>
      <c r="F245">
        <v>150.6660148</v>
      </c>
      <c r="G245" s="1">
        <v>36952</v>
      </c>
      <c r="H245" s="1">
        <v>40306</v>
      </c>
      <c r="I245">
        <v>9.5068493150000002</v>
      </c>
      <c r="J245" t="s">
        <v>68</v>
      </c>
      <c r="K245">
        <v>1.611597685</v>
      </c>
      <c r="L245">
        <v>0.63218962300000003</v>
      </c>
      <c r="M245" t="s">
        <v>68</v>
      </c>
      <c r="N245">
        <v>1.54</v>
      </c>
      <c r="O245">
        <v>2.38</v>
      </c>
      <c r="P245">
        <v>-0.34</v>
      </c>
      <c r="Q245">
        <v>0.5</v>
      </c>
      <c r="R245">
        <v>-0.49</v>
      </c>
      <c r="S245">
        <v>0</v>
      </c>
      <c r="T245">
        <v>0.99</v>
      </c>
      <c r="U245">
        <v>0.58660000000000001</v>
      </c>
      <c r="V245">
        <v>-8.7474747000000005E-2</v>
      </c>
      <c r="W245">
        <v>-52.777597110000002</v>
      </c>
      <c r="X245">
        <v>61.437597109999999</v>
      </c>
      <c r="Y245">
        <v>-2.777597111</v>
      </c>
      <c r="Z245">
        <v>0.768402315</v>
      </c>
      <c r="AA245">
        <v>11.12</v>
      </c>
      <c r="AB245">
        <v>1.06</v>
      </c>
      <c r="AC245">
        <v>20.7</v>
      </c>
      <c r="AD245">
        <v>1212</v>
      </c>
      <c r="AE245">
        <v>0.83846410100000002</v>
      </c>
      <c r="AF245">
        <v>0.37070602400000002</v>
      </c>
      <c r="AG245" t="s">
        <v>521</v>
      </c>
      <c r="AH245">
        <v>0</v>
      </c>
      <c r="AI245">
        <v>1</v>
      </c>
      <c r="AJ245">
        <v>0</v>
      </c>
      <c r="AK245">
        <v>1</v>
      </c>
      <c r="AL245" t="s">
        <v>54</v>
      </c>
      <c r="AM245" t="s">
        <v>275</v>
      </c>
      <c r="AN245">
        <v>-0.58099999999999996</v>
      </c>
      <c r="AO245">
        <v>0.71</v>
      </c>
      <c r="AP245">
        <v>189.83250000000001</v>
      </c>
      <c r="AQ245">
        <v>5.0000000000000001E-3</v>
      </c>
      <c r="AR245">
        <v>1000</v>
      </c>
      <c r="AS245">
        <v>326.7340792</v>
      </c>
    </row>
    <row r="246" spans="1:45" x14ac:dyDescent="0.2">
      <c r="A246" t="s">
        <v>523</v>
      </c>
      <c r="B246" t="s">
        <v>513</v>
      </c>
      <c r="C246" t="s">
        <v>514</v>
      </c>
      <c r="D246" t="s">
        <v>520</v>
      </c>
      <c r="E246">
        <v>-35.010319799999998</v>
      </c>
      <c r="F246">
        <v>150.66581600000001</v>
      </c>
      <c r="G246" s="1">
        <v>36952</v>
      </c>
      <c r="H246" s="1">
        <v>40306</v>
      </c>
      <c r="I246">
        <v>9.5068493150000002</v>
      </c>
      <c r="J246" t="s">
        <v>68</v>
      </c>
      <c r="K246">
        <v>1.303714182</v>
      </c>
      <c r="L246">
        <v>0.718248781</v>
      </c>
      <c r="M246" t="s">
        <v>68</v>
      </c>
      <c r="N246">
        <v>1.54</v>
      </c>
      <c r="O246">
        <v>2.38</v>
      </c>
      <c r="P246">
        <v>-0.34</v>
      </c>
      <c r="Q246">
        <v>0.5</v>
      </c>
      <c r="R246">
        <v>-0.49</v>
      </c>
      <c r="S246">
        <v>0</v>
      </c>
      <c r="T246">
        <v>0.99</v>
      </c>
      <c r="U246">
        <v>0.62239999999999995</v>
      </c>
      <c r="V246">
        <v>-0.123636364</v>
      </c>
      <c r="W246">
        <v>-52.777597110000002</v>
      </c>
      <c r="X246">
        <v>65.017597109999997</v>
      </c>
      <c r="Y246">
        <v>-2.777597111</v>
      </c>
      <c r="Z246">
        <v>1.0762858179999999</v>
      </c>
      <c r="AA246">
        <v>18.920000000000002</v>
      </c>
      <c r="AB246">
        <v>1.06</v>
      </c>
      <c r="AC246">
        <v>20.7</v>
      </c>
      <c r="AD246">
        <v>1212</v>
      </c>
      <c r="AE246">
        <v>0.83846410100000002</v>
      </c>
      <c r="AF246">
        <v>0.37070602400000002</v>
      </c>
      <c r="AG246" t="s">
        <v>521</v>
      </c>
      <c r="AH246">
        <v>0</v>
      </c>
      <c r="AI246">
        <v>1</v>
      </c>
      <c r="AJ246">
        <v>0</v>
      </c>
      <c r="AK246">
        <v>1</v>
      </c>
      <c r="AL246" t="s">
        <v>54</v>
      </c>
      <c r="AM246" t="s">
        <v>275</v>
      </c>
      <c r="AN246">
        <v>-0.5292</v>
      </c>
      <c r="AO246">
        <v>0.92</v>
      </c>
      <c r="AP246">
        <v>203.23500000000001</v>
      </c>
      <c r="AQ246">
        <v>5.0000000000000001E-3</v>
      </c>
      <c r="AR246">
        <v>2752</v>
      </c>
      <c r="AS246">
        <v>384.04195010000001</v>
      </c>
    </row>
    <row r="247" spans="1:45" x14ac:dyDescent="0.2">
      <c r="A247" t="s">
        <v>524</v>
      </c>
      <c r="B247" t="s">
        <v>513</v>
      </c>
      <c r="C247" t="s">
        <v>514</v>
      </c>
      <c r="D247" t="s">
        <v>520</v>
      </c>
      <c r="E247">
        <v>-35.015228610000001</v>
      </c>
      <c r="F247">
        <v>150.66581400000001</v>
      </c>
      <c r="G247" s="1">
        <v>36952</v>
      </c>
      <c r="H247" s="1">
        <v>43893</v>
      </c>
      <c r="I247">
        <v>19.09041096</v>
      </c>
      <c r="J247">
        <v>0.28999999999999998</v>
      </c>
      <c r="K247">
        <v>-0.31792414200000002</v>
      </c>
      <c r="L247">
        <v>0.38706267900000002</v>
      </c>
      <c r="M247">
        <f t="shared" si="3"/>
        <v>0.607924142</v>
      </c>
      <c r="N247">
        <v>1.54</v>
      </c>
      <c r="O247">
        <v>2.38</v>
      </c>
      <c r="P247">
        <v>-0.34</v>
      </c>
      <c r="Q247">
        <v>0.5</v>
      </c>
      <c r="R247">
        <v>-0.49</v>
      </c>
      <c r="S247">
        <v>0</v>
      </c>
      <c r="T247">
        <v>0.99</v>
      </c>
      <c r="U247">
        <v>0.68200000000000005</v>
      </c>
      <c r="V247">
        <v>-0.18383838399999999</v>
      </c>
      <c r="W247">
        <v>-52.777597110000002</v>
      </c>
      <c r="X247">
        <v>70.977597110000005</v>
      </c>
      <c r="Y247">
        <v>-2.777597111</v>
      </c>
      <c r="Z247">
        <v>2.6979241420000002</v>
      </c>
      <c r="AA247">
        <v>7.69</v>
      </c>
      <c r="AB247">
        <v>1.18</v>
      </c>
      <c r="AC247">
        <v>20.7</v>
      </c>
      <c r="AD247">
        <v>1212</v>
      </c>
      <c r="AE247">
        <v>0.83846410100000002</v>
      </c>
      <c r="AF247">
        <v>0.37070602400000002</v>
      </c>
      <c r="AG247" t="s">
        <v>47</v>
      </c>
      <c r="AH247">
        <v>0</v>
      </c>
      <c r="AI247">
        <v>0</v>
      </c>
      <c r="AJ247">
        <v>1</v>
      </c>
      <c r="AK247">
        <v>0</v>
      </c>
      <c r="AL247" t="s">
        <v>48</v>
      </c>
      <c r="AM247" t="s">
        <v>275</v>
      </c>
      <c r="AN247">
        <v>-0.42359999999999998</v>
      </c>
      <c r="AO247">
        <v>0.67</v>
      </c>
      <c r="AP247">
        <v>458.6925</v>
      </c>
      <c r="AQ247">
        <v>5.0000000000000001E-3</v>
      </c>
      <c r="AR247">
        <v>382</v>
      </c>
      <c r="AS247">
        <v>1082.843484</v>
      </c>
    </row>
    <row r="248" spans="1:45" x14ac:dyDescent="0.2">
      <c r="A248" t="s">
        <v>525</v>
      </c>
      <c r="B248" t="s">
        <v>513</v>
      </c>
      <c r="C248" t="s">
        <v>514</v>
      </c>
      <c r="D248" t="s">
        <v>520</v>
      </c>
      <c r="E248">
        <v>-35.014898189999997</v>
      </c>
      <c r="F248">
        <v>150.66672969999999</v>
      </c>
      <c r="G248" s="1">
        <v>36952</v>
      </c>
      <c r="H248" s="1">
        <v>43893</v>
      </c>
      <c r="I248">
        <v>19.09041096</v>
      </c>
      <c r="J248">
        <v>0.37</v>
      </c>
      <c r="K248">
        <v>0.29877618099999997</v>
      </c>
      <c r="L248">
        <v>0.40703451499999999</v>
      </c>
      <c r="M248">
        <f t="shared" si="3"/>
        <v>7.1223819000000022E-2</v>
      </c>
      <c r="N248">
        <v>1.54</v>
      </c>
      <c r="O248">
        <v>2.38</v>
      </c>
      <c r="P248">
        <v>-0.34</v>
      </c>
      <c r="Q248">
        <v>0.5</v>
      </c>
      <c r="R248">
        <v>-0.49</v>
      </c>
      <c r="S248">
        <v>0</v>
      </c>
      <c r="T248">
        <v>0.99</v>
      </c>
      <c r="U248">
        <v>0.68120000000000003</v>
      </c>
      <c r="V248">
        <v>-0.18303030300000001</v>
      </c>
      <c r="W248">
        <v>-52.777597110000002</v>
      </c>
      <c r="X248">
        <v>70.897597110000007</v>
      </c>
      <c r="Y248">
        <v>-2.777597111</v>
      </c>
      <c r="Z248">
        <v>2.0812238189999999</v>
      </c>
      <c r="AA248">
        <v>2.69</v>
      </c>
      <c r="AB248">
        <v>1.18</v>
      </c>
      <c r="AC248">
        <v>20.7</v>
      </c>
      <c r="AD248">
        <v>1212</v>
      </c>
      <c r="AE248">
        <v>0.824996163</v>
      </c>
      <c r="AF248">
        <v>0.32672037399999998</v>
      </c>
      <c r="AG248" t="s">
        <v>47</v>
      </c>
      <c r="AH248">
        <v>0</v>
      </c>
      <c r="AI248">
        <v>0</v>
      </c>
      <c r="AJ248">
        <v>1</v>
      </c>
      <c r="AK248">
        <v>0</v>
      </c>
      <c r="AL248" t="s">
        <v>48</v>
      </c>
      <c r="AM248" t="s">
        <v>275</v>
      </c>
      <c r="AN248">
        <v>-0.50129999999999997</v>
      </c>
      <c r="AO248">
        <v>0.93</v>
      </c>
      <c r="AP248">
        <v>374.11</v>
      </c>
      <c r="AQ248">
        <v>5.0000000000000001E-3</v>
      </c>
      <c r="AR248">
        <v>571</v>
      </c>
      <c r="AS248">
        <v>746.27967290000004</v>
      </c>
    </row>
    <row r="249" spans="1:45" x14ac:dyDescent="0.2">
      <c r="A249" t="s">
        <v>526</v>
      </c>
      <c r="B249" t="s">
        <v>513</v>
      </c>
      <c r="C249" t="s">
        <v>514</v>
      </c>
      <c r="D249" t="s">
        <v>520</v>
      </c>
      <c r="E249">
        <v>-35.009664440000002</v>
      </c>
      <c r="F249">
        <v>150.66566660000001</v>
      </c>
      <c r="G249" s="1">
        <v>36952</v>
      </c>
      <c r="H249" s="1">
        <v>43893</v>
      </c>
      <c r="I249">
        <v>19.09041096</v>
      </c>
      <c r="J249">
        <v>0.28999999999999998</v>
      </c>
      <c r="K249">
        <v>-0.61963634400000001</v>
      </c>
      <c r="L249">
        <v>0.61033738699999995</v>
      </c>
      <c r="M249">
        <f t="shared" si="3"/>
        <v>0.90963634399999993</v>
      </c>
      <c r="N249">
        <v>1.54</v>
      </c>
      <c r="O249">
        <v>2.38</v>
      </c>
      <c r="P249">
        <v>-0.34</v>
      </c>
      <c r="Q249">
        <v>0.5</v>
      </c>
      <c r="R249">
        <v>-0.49</v>
      </c>
      <c r="S249">
        <v>0</v>
      </c>
      <c r="T249">
        <v>0.99</v>
      </c>
      <c r="U249">
        <v>0.77600000000000002</v>
      </c>
      <c r="V249">
        <v>-0.27878787900000002</v>
      </c>
      <c r="W249">
        <v>-52.777597110000002</v>
      </c>
      <c r="X249">
        <v>80.377597109999996</v>
      </c>
      <c r="Y249">
        <v>-2.777597111</v>
      </c>
      <c r="Z249">
        <v>2.9996363439999998</v>
      </c>
      <c r="AA249">
        <v>13.25</v>
      </c>
      <c r="AB249">
        <v>1.18</v>
      </c>
      <c r="AC249">
        <v>20.7</v>
      </c>
      <c r="AD249">
        <v>1212</v>
      </c>
      <c r="AE249">
        <v>0.83846410100000002</v>
      </c>
      <c r="AF249">
        <v>0.37070602400000002</v>
      </c>
      <c r="AG249" t="s">
        <v>47</v>
      </c>
      <c r="AH249">
        <v>0</v>
      </c>
      <c r="AI249">
        <v>0</v>
      </c>
      <c r="AJ249">
        <v>1</v>
      </c>
      <c r="AK249">
        <v>0</v>
      </c>
      <c r="AL249" t="s">
        <v>48</v>
      </c>
      <c r="AM249" t="s">
        <v>275</v>
      </c>
      <c r="AN249">
        <v>-0.4763</v>
      </c>
      <c r="AO249">
        <v>0.65</v>
      </c>
      <c r="AP249">
        <v>215.13</v>
      </c>
      <c r="AQ249">
        <v>5.0000000000000001E-3</v>
      </c>
      <c r="AR249">
        <v>372</v>
      </c>
      <c r="AS249">
        <v>451.6691161</v>
      </c>
    </row>
    <row r="250" spans="1:45" x14ac:dyDescent="0.2">
      <c r="A250" t="s">
        <v>527</v>
      </c>
      <c r="B250" t="s">
        <v>513</v>
      </c>
      <c r="C250" t="s">
        <v>514</v>
      </c>
      <c r="D250" t="s">
        <v>528</v>
      </c>
      <c r="E250">
        <v>-33.842857209999998</v>
      </c>
      <c r="F250">
        <v>151.0773906</v>
      </c>
      <c r="G250" s="1">
        <v>36832</v>
      </c>
      <c r="H250" t="s">
        <v>531</v>
      </c>
      <c r="I250">
        <v>15.56164384</v>
      </c>
      <c r="J250">
        <v>2.649485613</v>
      </c>
      <c r="K250">
        <v>3.4458588780000001</v>
      </c>
      <c r="L250">
        <v>0.95874432399999998</v>
      </c>
      <c r="M250">
        <f t="shared" si="3"/>
        <v>-0.79637326500000016</v>
      </c>
      <c r="N250">
        <v>1.1200000000000001</v>
      </c>
      <c r="O250">
        <v>3</v>
      </c>
      <c r="P250">
        <v>-0.39</v>
      </c>
      <c r="Q250">
        <v>0.51</v>
      </c>
      <c r="R250">
        <v>-0.504</v>
      </c>
      <c r="S250">
        <v>0</v>
      </c>
      <c r="T250">
        <v>1.014</v>
      </c>
      <c r="U250">
        <v>0.78733333299999997</v>
      </c>
      <c r="V250">
        <v>-0.27350427300000002</v>
      </c>
      <c r="W250">
        <v>-53.903487869999999</v>
      </c>
      <c r="X250">
        <v>81.636821170000005</v>
      </c>
      <c r="Y250">
        <v>-2.9034878690000001</v>
      </c>
      <c r="Z250">
        <v>-0.44585887800000001</v>
      </c>
      <c r="AA250">
        <v>46.55</v>
      </c>
      <c r="AB250">
        <v>0.4</v>
      </c>
      <c r="AC250">
        <v>23.6</v>
      </c>
      <c r="AD250">
        <v>1125</v>
      </c>
      <c r="AE250">
        <v>0.406677758</v>
      </c>
      <c r="AF250">
        <v>0.16476733900000001</v>
      </c>
      <c r="AG250" t="s">
        <v>529</v>
      </c>
      <c r="AH250">
        <v>0</v>
      </c>
      <c r="AI250">
        <v>1</v>
      </c>
      <c r="AJ250">
        <v>0</v>
      </c>
      <c r="AK250">
        <v>1</v>
      </c>
      <c r="AL250" t="s">
        <v>54</v>
      </c>
      <c r="AM250" t="s">
        <v>530</v>
      </c>
      <c r="AN250">
        <v>-0.16170000000000001</v>
      </c>
      <c r="AO250">
        <v>0.48</v>
      </c>
      <c r="AP250">
        <v>253.51750000000001</v>
      </c>
      <c r="AQ250">
        <v>0.06</v>
      </c>
      <c r="AR250">
        <v>1000</v>
      </c>
      <c r="AS250">
        <v>1567.826221</v>
      </c>
    </row>
    <row r="251" spans="1:45" x14ac:dyDescent="0.2">
      <c r="A251" t="s">
        <v>532</v>
      </c>
      <c r="B251" t="s">
        <v>513</v>
      </c>
      <c r="C251" t="s">
        <v>514</v>
      </c>
      <c r="D251" t="s">
        <v>528</v>
      </c>
      <c r="E251">
        <v>-33.842316340000004</v>
      </c>
      <c r="F251">
        <v>151.07726070000001</v>
      </c>
      <c r="G251" s="1">
        <v>36832</v>
      </c>
      <c r="H251" t="s">
        <v>531</v>
      </c>
      <c r="I251">
        <v>15.56164384</v>
      </c>
      <c r="J251">
        <v>5.0892997019999999</v>
      </c>
      <c r="K251">
        <v>2.4254555249999998</v>
      </c>
      <c r="L251">
        <v>0.92783720599999997</v>
      </c>
      <c r="M251">
        <f t="shared" si="3"/>
        <v>2.6638441770000001</v>
      </c>
      <c r="N251">
        <v>1.1200000000000001</v>
      </c>
      <c r="O251">
        <v>3</v>
      </c>
      <c r="P251">
        <v>-0.39</v>
      </c>
      <c r="Q251">
        <v>0.51</v>
      </c>
      <c r="R251">
        <v>-0.504</v>
      </c>
      <c r="S251">
        <v>0</v>
      </c>
      <c r="T251">
        <v>1.014</v>
      </c>
      <c r="U251">
        <v>0.70633333300000001</v>
      </c>
      <c r="V251">
        <v>-0.193622616</v>
      </c>
      <c r="W251">
        <v>-53.903487869999999</v>
      </c>
      <c r="X251">
        <v>73.536821169999996</v>
      </c>
      <c r="Y251">
        <v>-2.9034878690000001</v>
      </c>
      <c r="Z251">
        <v>0.57454447500000005</v>
      </c>
      <c r="AA251">
        <v>20.47</v>
      </c>
      <c r="AB251">
        <v>0.4</v>
      </c>
      <c r="AC251">
        <v>23.6</v>
      </c>
      <c r="AD251">
        <v>1125</v>
      </c>
      <c r="AE251">
        <v>0.406677758</v>
      </c>
      <c r="AF251">
        <v>0.16476733900000001</v>
      </c>
      <c r="AG251" t="s">
        <v>529</v>
      </c>
      <c r="AH251">
        <v>0</v>
      </c>
      <c r="AI251">
        <v>1</v>
      </c>
      <c r="AJ251">
        <v>0</v>
      </c>
      <c r="AK251">
        <v>1</v>
      </c>
      <c r="AL251" t="s">
        <v>54</v>
      </c>
      <c r="AM251" t="s">
        <v>530</v>
      </c>
      <c r="AN251">
        <v>0.12959999999999999</v>
      </c>
      <c r="AO251">
        <v>0.5</v>
      </c>
      <c r="AP251">
        <v>312.89</v>
      </c>
      <c r="AQ251">
        <v>0.06</v>
      </c>
      <c r="AR251">
        <v>1000</v>
      </c>
      <c r="AS251">
        <v>1000</v>
      </c>
    </row>
    <row r="252" spans="1:45" x14ac:dyDescent="0.2">
      <c r="A252" t="s">
        <v>533</v>
      </c>
      <c r="B252" t="s">
        <v>513</v>
      </c>
      <c r="C252" t="s">
        <v>514</v>
      </c>
      <c r="D252" t="s">
        <v>528</v>
      </c>
      <c r="E252">
        <v>-33.84137784</v>
      </c>
      <c r="F252">
        <v>151.07694040000001</v>
      </c>
      <c r="G252" t="s">
        <v>534</v>
      </c>
      <c r="H252" t="s">
        <v>531</v>
      </c>
      <c r="I252">
        <v>15.05205479</v>
      </c>
      <c r="J252">
        <v>3.789199075</v>
      </c>
      <c r="K252">
        <v>1.914739602</v>
      </c>
      <c r="L252">
        <v>0.94276239399999995</v>
      </c>
      <c r="M252">
        <f t="shared" si="3"/>
        <v>1.8744594729999999</v>
      </c>
      <c r="N252">
        <v>1.1200000000000001</v>
      </c>
      <c r="O252">
        <v>3</v>
      </c>
      <c r="P252">
        <v>-0.39</v>
      </c>
      <c r="Q252">
        <v>0.51</v>
      </c>
      <c r="R252">
        <v>-0.504</v>
      </c>
      <c r="S252">
        <v>0</v>
      </c>
      <c r="T252">
        <v>1.014</v>
      </c>
      <c r="U252">
        <v>0.56599999999999995</v>
      </c>
      <c r="V252">
        <v>-5.5226824000000001E-2</v>
      </c>
      <c r="W252">
        <v>-53.903487869999999</v>
      </c>
      <c r="X252">
        <v>59.503487870000001</v>
      </c>
      <c r="Y252">
        <v>-2.9034878690000001</v>
      </c>
      <c r="Z252">
        <v>1.085260398</v>
      </c>
      <c r="AA252">
        <v>20.62</v>
      </c>
      <c r="AB252">
        <v>0.4</v>
      </c>
      <c r="AC252">
        <v>23.6</v>
      </c>
      <c r="AD252">
        <v>1125</v>
      </c>
      <c r="AE252">
        <v>0.406677758</v>
      </c>
      <c r="AF252">
        <v>0.16476733900000001</v>
      </c>
      <c r="AG252" t="s">
        <v>529</v>
      </c>
      <c r="AH252">
        <v>0</v>
      </c>
      <c r="AI252">
        <v>1</v>
      </c>
      <c r="AJ252">
        <v>0</v>
      </c>
      <c r="AK252">
        <v>1</v>
      </c>
      <c r="AL252" t="s">
        <v>54</v>
      </c>
      <c r="AM252" t="s">
        <v>530</v>
      </c>
      <c r="AN252">
        <v>-0.14050000000000001</v>
      </c>
      <c r="AO252">
        <v>7.0000000000000007E-2</v>
      </c>
      <c r="AP252">
        <v>312.57249999999999</v>
      </c>
      <c r="AQ252">
        <v>0.06</v>
      </c>
      <c r="AR252">
        <v>1000</v>
      </c>
      <c r="AS252">
        <v>2224.7153020000001</v>
      </c>
    </row>
    <row r="253" spans="1:45" x14ac:dyDescent="0.2">
      <c r="A253" t="s">
        <v>535</v>
      </c>
      <c r="B253" t="s">
        <v>513</v>
      </c>
      <c r="C253" t="s">
        <v>514</v>
      </c>
      <c r="D253" t="s">
        <v>528</v>
      </c>
      <c r="E253">
        <v>-33.842798539999997</v>
      </c>
      <c r="F253">
        <v>151.07677870000001</v>
      </c>
      <c r="G253" s="1">
        <v>36832</v>
      </c>
      <c r="H253" s="1">
        <v>42802</v>
      </c>
      <c r="I253">
        <v>17.48767123</v>
      </c>
      <c r="J253">
        <v>1.06</v>
      </c>
      <c r="K253">
        <v>2.6538227719999998</v>
      </c>
      <c r="L253">
        <v>0.879199285</v>
      </c>
      <c r="M253">
        <f t="shared" si="3"/>
        <v>-1.5938227719999998</v>
      </c>
      <c r="N253">
        <v>1.1200000000000001</v>
      </c>
      <c r="O253">
        <v>3</v>
      </c>
      <c r="P253">
        <v>-0.39</v>
      </c>
      <c r="Q253">
        <v>0.51</v>
      </c>
      <c r="R253">
        <v>-0.504</v>
      </c>
      <c r="S253">
        <v>0</v>
      </c>
      <c r="T253">
        <v>1.014</v>
      </c>
      <c r="U253">
        <v>0.82566666700000002</v>
      </c>
      <c r="V253">
        <v>-0.31130835000000001</v>
      </c>
      <c r="W253">
        <v>-53.903487869999999</v>
      </c>
      <c r="X253">
        <v>85.470154570000005</v>
      </c>
      <c r="Y253">
        <v>-2.9034878690000001</v>
      </c>
      <c r="Z253">
        <v>0.346177228</v>
      </c>
      <c r="AA253">
        <v>12.49</v>
      </c>
      <c r="AB253">
        <v>0.86</v>
      </c>
      <c r="AC253">
        <v>23.6</v>
      </c>
      <c r="AD253">
        <v>1125</v>
      </c>
      <c r="AE253">
        <v>0.406677758</v>
      </c>
      <c r="AF253">
        <v>0.16476733900000001</v>
      </c>
      <c r="AG253" t="s">
        <v>529</v>
      </c>
      <c r="AH253">
        <v>0</v>
      </c>
      <c r="AI253">
        <v>1</v>
      </c>
      <c r="AJ253">
        <v>0</v>
      </c>
      <c r="AK253">
        <v>1</v>
      </c>
      <c r="AL253" t="s">
        <v>54</v>
      </c>
      <c r="AM253" t="s">
        <v>530</v>
      </c>
      <c r="AN253">
        <v>-0.49049999999999999</v>
      </c>
      <c r="AO253">
        <v>0.79</v>
      </c>
      <c r="AP253">
        <v>311.13749999999999</v>
      </c>
      <c r="AQ253">
        <v>0.06</v>
      </c>
      <c r="AR253">
        <v>1000</v>
      </c>
      <c r="AS253">
        <v>634.32721709999998</v>
      </c>
    </row>
    <row r="254" spans="1:45" x14ac:dyDescent="0.2">
      <c r="A254" t="s">
        <v>536</v>
      </c>
      <c r="B254" t="s">
        <v>513</v>
      </c>
      <c r="C254" t="s">
        <v>514</v>
      </c>
      <c r="D254" t="s">
        <v>528</v>
      </c>
      <c r="E254">
        <v>-33.8424683</v>
      </c>
      <c r="F254">
        <v>151.07678189999999</v>
      </c>
      <c r="G254" s="1">
        <v>36832</v>
      </c>
      <c r="H254" s="1">
        <v>42802</v>
      </c>
      <c r="I254">
        <v>17.48767123</v>
      </c>
      <c r="J254">
        <v>1.5</v>
      </c>
      <c r="K254">
        <v>3.4175191539999998</v>
      </c>
      <c r="L254">
        <v>0.98130711299999995</v>
      </c>
      <c r="M254">
        <f t="shared" si="3"/>
        <v>-1.9175191539999998</v>
      </c>
      <c r="N254">
        <v>1.1200000000000001</v>
      </c>
      <c r="O254">
        <v>3</v>
      </c>
      <c r="P254">
        <v>-0.39</v>
      </c>
      <c r="Q254">
        <v>0.51</v>
      </c>
      <c r="R254">
        <v>-0.504</v>
      </c>
      <c r="S254">
        <v>0</v>
      </c>
      <c r="T254">
        <v>1.014</v>
      </c>
      <c r="U254">
        <v>0.77266666699999997</v>
      </c>
      <c r="V254">
        <v>-0.25904010599999999</v>
      </c>
      <c r="W254">
        <v>-53.903487869999999</v>
      </c>
      <c r="X254">
        <v>80.170154569999994</v>
      </c>
      <c r="Y254">
        <v>-2.9034878690000001</v>
      </c>
      <c r="Z254">
        <v>-0.417519154</v>
      </c>
      <c r="AA254">
        <v>17.73</v>
      </c>
      <c r="AB254">
        <v>0.86</v>
      </c>
      <c r="AC254">
        <v>23.6</v>
      </c>
      <c r="AD254">
        <v>1125</v>
      </c>
      <c r="AE254">
        <v>0.406677758</v>
      </c>
      <c r="AF254">
        <v>0.16476733900000001</v>
      </c>
      <c r="AG254" t="s">
        <v>529</v>
      </c>
      <c r="AH254">
        <v>0</v>
      </c>
      <c r="AI254">
        <v>1</v>
      </c>
      <c r="AJ254">
        <v>0</v>
      </c>
      <c r="AK254">
        <v>1</v>
      </c>
      <c r="AL254" t="s">
        <v>54</v>
      </c>
      <c r="AM254" t="s">
        <v>530</v>
      </c>
      <c r="AN254">
        <v>-0.4788</v>
      </c>
      <c r="AO254">
        <v>0.41399999999999998</v>
      </c>
      <c r="AP254">
        <v>298.61250000000001</v>
      </c>
      <c r="AQ254">
        <v>0.06</v>
      </c>
      <c r="AR254">
        <v>1000</v>
      </c>
      <c r="AS254">
        <v>623.66854639999997</v>
      </c>
    </row>
    <row r="255" spans="1:45" x14ac:dyDescent="0.2">
      <c r="A255" t="s">
        <v>537</v>
      </c>
      <c r="B255" t="s">
        <v>513</v>
      </c>
      <c r="C255" t="s">
        <v>514</v>
      </c>
      <c r="D255" t="s">
        <v>528</v>
      </c>
      <c r="E255">
        <v>-33.841416049999999</v>
      </c>
      <c r="F255">
        <v>151.07679909999999</v>
      </c>
      <c r="G255" t="s">
        <v>534</v>
      </c>
      <c r="H255" s="1">
        <v>42802</v>
      </c>
      <c r="I255">
        <v>16.978082189999999</v>
      </c>
      <c r="J255">
        <v>1.93</v>
      </c>
      <c r="K255">
        <v>2.5004173980000002</v>
      </c>
      <c r="L255">
        <v>0.98080044899999996</v>
      </c>
      <c r="M255">
        <f t="shared" si="3"/>
        <v>-0.57041739800000024</v>
      </c>
      <c r="N255">
        <v>1.1200000000000001</v>
      </c>
      <c r="O255">
        <v>3</v>
      </c>
      <c r="P255">
        <v>-0.39</v>
      </c>
      <c r="Q255">
        <v>0.51</v>
      </c>
      <c r="R255">
        <v>-0.504</v>
      </c>
      <c r="S255">
        <v>0</v>
      </c>
      <c r="T255">
        <v>1.014</v>
      </c>
      <c r="U255">
        <v>0.75900000000000001</v>
      </c>
      <c r="V255">
        <v>-0.24556212999999999</v>
      </c>
      <c r="W255">
        <v>-53.903487869999999</v>
      </c>
      <c r="X255">
        <v>78.803487869999998</v>
      </c>
      <c r="Y255">
        <v>-2.9034878690000001</v>
      </c>
      <c r="Z255">
        <v>0.49958260199999999</v>
      </c>
      <c r="AA255">
        <v>11.72</v>
      </c>
      <c r="AB255">
        <v>0.86</v>
      </c>
      <c r="AC255">
        <v>23.6</v>
      </c>
      <c r="AD255">
        <v>1125</v>
      </c>
      <c r="AE255">
        <v>0.406677758</v>
      </c>
      <c r="AF255">
        <v>0.16476733900000001</v>
      </c>
      <c r="AG255" t="s">
        <v>529</v>
      </c>
      <c r="AH255">
        <v>0</v>
      </c>
      <c r="AI255">
        <v>1</v>
      </c>
      <c r="AJ255">
        <v>0</v>
      </c>
      <c r="AK255">
        <v>1</v>
      </c>
      <c r="AL255" t="s">
        <v>54</v>
      </c>
      <c r="AM255" t="s">
        <v>530</v>
      </c>
      <c r="AN255">
        <v>-0.2291</v>
      </c>
      <c r="AO255">
        <v>0.62</v>
      </c>
      <c r="AP255">
        <v>318.03500000000003</v>
      </c>
      <c r="AQ255">
        <v>0.06</v>
      </c>
      <c r="AR255">
        <v>1000</v>
      </c>
      <c r="AS255">
        <v>1388.192929</v>
      </c>
    </row>
    <row r="256" spans="1:45" x14ac:dyDescent="0.2">
      <c r="A256" t="s">
        <v>538</v>
      </c>
      <c r="B256" t="s">
        <v>513</v>
      </c>
      <c r="C256" t="s">
        <v>514</v>
      </c>
      <c r="D256" t="s">
        <v>539</v>
      </c>
      <c r="E256">
        <v>-38.219537500000001</v>
      </c>
      <c r="F256">
        <v>145.41816919999999</v>
      </c>
      <c r="G256" t="s">
        <v>542</v>
      </c>
      <c r="H256" s="1">
        <v>43810</v>
      </c>
      <c r="I256">
        <v>19.07945205</v>
      </c>
      <c r="J256">
        <v>1.5</v>
      </c>
      <c r="K256">
        <v>0.456362078</v>
      </c>
      <c r="L256">
        <v>0.72856218299999997</v>
      </c>
      <c r="M256">
        <f t="shared" si="3"/>
        <v>1.0436379220000001</v>
      </c>
      <c r="N256">
        <v>0.8</v>
      </c>
      <c r="O256">
        <v>2.028</v>
      </c>
      <c r="P256">
        <v>-0.48</v>
      </c>
      <c r="Q256">
        <v>0.92500000000000004</v>
      </c>
      <c r="R256">
        <v>-0.85499999999999998</v>
      </c>
      <c r="S256">
        <v>0</v>
      </c>
      <c r="T256">
        <v>1.78</v>
      </c>
      <c r="U256">
        <v>1.7310000000000001</v>
      </c>
      <c r="V256">
        <v>-0.452808989</v>
      </c>
      <c r="W256">
        <v>-80.352956849999998</v>
      </c>
      <c r="X256">
        <v>160.95295680000001</v>
      </c>
      <c r="Y256">
        <v>12.14704315</v>
      </c>
      <c r="Z256">
        <v>1.5716379220000001</v>
      </c>
      <c r="AA256">
        <v>27.43</v>
      </c>
      <c r="AB256">
        <v>1.28</v>
      </c>
      <c r="AC256">
        <v>19.2</v>
      </c>
      <c r="AD256">
        <v>788</v>
      </c>
      <c r="AE256">
        <v>13.212065620000001</v>
      </c>
      <c r="AF256">
        <v>3.9128237399999999</v>
      </c>
      <c r="AG256" t="s">
        <v>540</v>
      </c>
      <c r="AH256">
        <v>0</v>
      </c>
      <c r="AI256">
        <v>0</v>
      </c>
      <c r="AJ256">
        <v>0</v>
      </c>
      <c r="AK256">
        <v>1</v>
      </c>
      <c r="AL256" t="s">
        <v>541</v>
      </c>
      <c r="AM256" t="s">
        <v>335</v>
      </c>
      <c r="AN256">
        <v>0.77729999999999999</v>
      </c>
      <c r="AO256">
        <v>0.67</v>
      </c>
      <c r="AP256">
        <v>223.56</v>
      </c>
      <c r="AQ256">
        <v>4.9000000000000002E-2</v>
      </c>
      <c r="AR256">
        <v>4684</v>
      </c>
      <c r="AS256">
        <v>1000</v>
      </c>
    </row>
    <row r="257" spans="1:45" x14ac:dyDescent="0.2">
      <c r="A257" t="s">
        <v>543</v>
      </c>
      <c r="B257" t="s">
        <v>513</v>
      </c>
      <c r="C257" t="s">
        <v>514</v>
      </c>
      <c r="D257" t="s">
        <v>539</v>
      </c>
      <c r="E257">
        <v>-38.219811970000002</v>
      </c>
      <c r="F257">
        <v>145.41788320000001</v>
      </c>
      <c r="G257" t="s">
        <v>542</v>
      </c>
      <c r="H257" s="1">
        <v>42708</v>
      </c>
      <c r="I257">
        <v>15.493150679999999</v>
      </c>
      <c r="J257">
        <v>1.39</v>
      </c>
      <c r="K257">
        <v>-0.29505900899999998</v>
      </c>
      <c r="L257">
        <v>0.79252050699999999</v>
      </c>
      <c r="M257">
        <f t="shared" si="3"/>
        <v>1.6850590089999999</v>
      </c>
      <c r="N257">
        <v>0.8</v>
      </c>
      <c r="O257">
        <v>2.028</v>
      </c>
      <c r="P257">
        <v>-0.48</v>
      </c>
      <c r="Q257">
        <v>0.92500000000000004</v>
      </c>
      <c r="R257">
        <v>-0.85499999999999998</v>
      </c>
      <c r="S257">
        <v>0</v>
      </c>
      <c r="T257">
        <v>1.78</v>
      </c>
      <c r="U257">
        <v>1.8</v>
      </c>
      <c r="V257">
        <v>-0.49157303400000002</v>
      </c>
      <c r="W257">
        <v>-80.352956849999998</v>
      </c>
      <c r="X257">
        <v>167.85295679999999</v>
      </c>
      <c r="Y257">
        <v>12.14704315</v>
      </c>
      <c r="Z257">
        <v>2.3230590090000001</v>
      </c>
      <c r="AA257">
        <v>27.43</v>
      </c>
      <c r="AB257">
        <v>1.28</v>
      </c>
      <c r="AC257">
        <v>19.2</v>
      </c>
      <c r="AD257">
        <v>788</v>
      </c>
      <c r="AE257">
        <v>13.212065620000001</v>
      </c>
      <c r="AF257">
        <v>3.9128237399999999</v>
      </c>
      <c r="AG257" t="s">
        <v>540</v>
      </c>
      <c r="AH257">
        <v>0</v>
      </c>
      <c r="AI257">
        <v>0</v>
      </c>
      <c r="AJ257">
        <v>0</v>
      </c>
      <c r="AK257">
        <v>1</v>
      </c>
      <c r="AL257" t="s">
        <v>541</v>
      </c>
      <c r="AM257" t="s">
        <v>335</v>
      </c>
      <c r="AN257">
        <v>0.43830000000000002</v>
      </c>
      <c r="AO257">
        <v>0.95</v>
      </c>
      <c r="AP257">
        <v>231.72</v>
      </c>
      <c r="AQ257">
        <v>4.9000000000000002E-2</v>
      </c>
      <c r="AR257">
        <v>1533</v>
      </c>
      <c r="AS257">
        <v>1000</v>
      </c>
    </row>
    <row r="258" spans="1:45" x14ac:dyDescent="0.2">
      <c r="A258" t="s">
        <v>544</v>
      </c>
      <c r="B258" t="s">
        <v>513</v>
      </c>
      <c r="C258" t="s">
        <v>514</v>
      </c>
      <c r="D258" t="s">
        <v>539</v>
      </c>
      <c r="E258">
        <v>-38.220283129999999</v>
      </c>
      <c r="F258">
        <v>145.41753489999999</v>
      </c>
      <c r="G258" t="s">
        <v>542</v>
      </c>
      <c r="H258" s="1">
        <v>43810</v>
      </c>
      <c r="I258">
        <v>19.07945205</v>
      </c>
      <c r="J258">
        <v>1.39</v>
      </c>
      <c r="K258">
        <v>0.57892628499999998</v>
      </c>
      <c r="L258">
        <v>0.82080032300000005</v>
      </c>
      <c r="M258">
        <f t="shared" si="3"/>
        <v>0.81107371499999992</v>
      </c>
      <c r="N258">
        <v>0.8</v>
      </c>
      <c r="O258">
        <v>2.028</v>
      </c>
      <c r="P258">
        <v>-0.48</v>
      </c>
      <c r="Q258">
        <v>0.92500000000000004</v>
      </c>
      <c r="R258">
        <v>-0.85499999999999998</v>
      </c>
      <c r="S258">
        <v>0</v>
      </c>
      <c r="T258">
        <v>1.78</v>
      </c>
      <c r="U258">
        <v>1.8129999999999999</v>
      </c>
      <c r="V258">
        <v>-0.498876404</v>
      </c>
      <c r="W258">
        <v>-80.352956849999998</v>
      </c>
      <c r="X258">
        <v>169.1529568</v>
      </c>
      <c r="Y258">
        <v>12.14704315</v>
      </c>
      <c r="Z258">
        <v>1.4490737149999999</v>
      </c>
      <c r="AA258">
        <v>27.43</v>
      </c>
      <c r="AB258">
        <v>1.28</v>
      </c>
      <c r="AC258">
        <v>19.2</v>
      </c>
      <c r="AD258">
        <v>788</v>
      </c>
      <c r="AE258">
        <v>13.212065620000001</v>
      </c>
      <c r="AF258">
        <v>3.9128237399999999</v>
      </c>
      <c r="AG258" t="s">
        <v>540</v>
      </c>
      <c r="AH258">
        <v>0</v>
      </c>
      <c r="AI258">
        <v>0</v>
      </c>
      <c r="AJ258">
        <v>0</v>
      </c>
      <c r="AK258">
        <v>1</v>
      </c>
      <c r="AL258" t="s">
        <v>541</v>
      </c>
      <c r="AM258" t="s">
        <v>335</v>
      </c>
      <c r="AN258">
        <v>0.16830000000000001</v>
      </c>
      <c r="AO258">
        <v>0.33</v>
      </c>
      <c r="AP258">
        <v>232.48249999999999</v>
      </c>
      <c r="AQ258">
        <v>4.9000000000000002E-2</v>
      </c>
      <c r="AR258">
        <v>7651</v>
      </c>
      <c r="AS258">
        <v>1000</v>
      </c>
    </row>
    <row r="259" spans="1:45" x14ac:dyDescent="0.2">
      <c r="A259" t="s">
        <v>545</v>
      </c>
      <c r="B259" t="s">
        <v>513</v>
      </c>
      <c r="C259" t="s">
        <v>514</v>
      </c>
      <c r="D259" t="s">
        <v>546</v>
      </c>
      <c r="E259">
        <v>-38.233470410000002</v>
      </c>
      <c r="F259">
        <v>145.30496769999999</v>
      </c>
      <c r="G259" t="s">
        <v>547</v>
      </c>
      <c r="H259" t="s">
        <v>548</v>
      </c>
      <c r="I259">
        <v>19.09041096</v>
      </c>
      <c r="J259">
        <v>2.64</v>
      </c>
      <c r="K259">
        <v>2.141422081</v>
      </c>
      <c r="L259">
        <v>0.96581877199999999</v>
      </c>
      <c r="M259">
        <f t="shared" ref="M259:M322" si="4">+J259-K259</f>
        <v>0.49857791900000015</v>
      </c>
      <c r="N259">
        <v>0.8</v>
      </c>
      <c r="O259">
        <v>2.028</v>
      </c>
      <c r="P259">
        <v>-0.48</v>
      </c>
      <c r="Q259">
        <v>0.92500000000000004</v>
      </c>
      <c r="R259">
        <v>-0.85499999999999998</v>
      </c>
      <c r="S259">
        <v>0</v>
      </c>
      <c r="T259">
        <v>1.78</v>
      </c>
      <c r="U259">
        <v>1.2949999999999999</v>
      </c>
      <c r="V259">
        <v>-0.20786516899999999</v>
      </c>
      <c r="W259">
        <v>-80.352956849999998</v>
      </c>
      <c r="X259">
        <v>117.3529568</v>
      </c>
      <c r="Y259">
        <v>12.14704315</v>
      </c>
      <c r="Z259">
        <v>-0.11342208099999999</v>
      </c>
      <c r="AA259">
        <v>21.41</v>
      </c>
      <c r="AB259">
        <v>1.28</v>
      </c>
      <c r="AC259">
        <v>19.2</v>
      </c>
      <c r="AD259">
        <v>788</v>
      </c>
      <c r="AE259">
        <v>4.7023379700000003</v>
      </c>
      <c r="AF259">
        <v>2.3230025090000002</v>
      </c>
      <c r="AG259" t="s">
        <v>540</v>
      </c>
      <c r="AH259">
        <v>0</v>
      </c>
      <c r="AI259">
        <v>0</v>
      </c>
      <c r="AJ259">
        <v>0</v>
      </c>
      <c r="AK259">
        <v>1</v>
      </c>
      <c r="AL259" t="s">
        <v>541</v>
      </c>
      <c r="AM259" t="s">
        <v>335</v>
      </c>
      <c r="AN259">
        <v>0.1076</v>
      </c>
      <c r="AO259">
        <v>0.37</v>
      </c>
      <c r="AP259">
        <v>65.3125</v>
      </c>
      <c r="AQ259" s="2">
        <v>4.0000000000000002E-4</v>
      </c>
      <c r="AR259">
        <v>1000</v>
      </c>
      <c r="AS259">
        <v>1000</v>
      </c>
    </row>
    <row r="260" spans="1:45" x14ac:dyDescent="0.2">
      <c r="A260" t="s">
        <v>549</v>
      </c>
      <c r="B260" t="s">
        <v>513</v>
      </c>
      <c r="C260" t="s">
        <v>514</v>
      </c>
      <c r="D260" t="s">
        <v>546</v>
      </c>
      <c r="E260">
        <v>-38.233684660000002</v>
      </c>
      <c r="F260">
        <v>145.30500290000001</v>
      </c>
      <c r="G260" t="s">
        <v>547</v>
      </c>
      <c r="H260" t="s">
        <v>548</v>
      </c>
      <c r="I260">
        <v>19.09041096</v>
      </c>
      <c r="J260">
        <v>1.97</v>
      </c>
      <c r="K260">
        <v>0.966991822</v>
      </c>
      <c r="L260">
        <v>0.94432773199999998</v>
      </c>
      <c r="M260">
        <f t="shared" si="4"/>
        <v>1.003008178</v>
      </c>
      <c r="N260">
        <v>0.8</v>
      </c>
      <c r="O260">
        <v>2.028</v>
      </c>
      <c r="P260">
        <v>-0.48</v>
      </c>
      <c r="Q260">
        <v>0.92500000000000004</v>
      </c>
      <c r="R260">
        <v>-0.85499999999999998</v>
      </c>
      <c r="S260">
        <v>0</v>
      </c>
      <c r="T260">
        <v>1.78</v>
      </c>
      <c r="U260">
        <v>1.3640000000000001</v>
      </c>
      <c r="V260">
        <v>-0.24662921300000001</v>
      </c>
      <c r="W260">
        <v>-80.352956849999998</v>
      </c>
      <c r="X260">
        <v>124.25295680000001</v>
      </c>
      <c r="Y260">
        <v>12.14704315</v>
      </c>
      <c r="Z260">
        <v>1.061008178</v>
      </c>
      <c r="AA260">
        <v>21.41</v>
      </c>
      <c r="AB260">
        <v>1.28</v>
      </c>
      <c r="AC260">
        <v>19.2</v>
      </c>
      <c r="AD260">
        <v>788</v>
      </c>
      <c r="AE260">
        <v>4.7023379700000003</v>
      </c>
      <c r="AF260">
        <v>2.3230025090000002</v>
      </c>
      <c r="AG260" t="s">
        <v>540</v>
      </c>
      <c r="AH260">
        <v>0</v>
      </c>
      <c r="AI260">
        <v>0</v>
      </c>
      <c r="AJ260">
        <v>0</v>
      </c>
      <c r="AK260">
        <v>1</v>
      </c>
      <c r="AL260" t="s">
        <v>541</v>
      </c>
      <c r="AM260" t="s">
        <v>335</v>
      </c>
      <c r="AN260">
        <v>-8.0999999999999996E-3</v>
      </c>
      <c r="AO260">
        <v>8.5000000000000006E-3</v>
      </c>
      <c r="AP260">
        <v>66.072500000000005</v>
      </c>
      <c r="AQ260" s="2">
        <v>4.0000000000000002E-4</v>
      </c>
      <c r="AR260">
        <v>1000</v>
      </c>
      <c r="AS260">
        <v>8157.0987649999997</v>
      </c>
    </row>
    <row r="261" spans="1:45" x14ac:dyDescent="0.2">
      <c r="A261" t="s">
        <v>550</v>
      </c>
      <c r="B261" t="s">
        <v>513</v>
      </c>
      <c r="C261" t="s">
        <v>514</v>
      </c>
      <c r="D261" t="s">
        <v>546</v>
      </c>
      <c r="E261">
        <v>-38.234076049999999</v>
      </c>
      <c r="F261">
        <v>145.30505260000001</v>
      </c>
      <c r="G261" t="s">
        <v>547</v>
      </c>
      <c r="H261" t="s">
        <v>548</v>
      </c>
      <c r="I261">
        <v>19.09041096</v>
      </c>
      <c r="J261">
        <v>1.53</v>
      </c>
      <c r="K261">
        <v>-0.53810107500000004</v>
      </c>
      <c r="L261">
        <v>0.52308931599999997</v>
      </c>
      <c r="M261">
        <f t="shared" si="4"/>
        <v>2.068101075</v>
      </c>
      <c r="N261">
        <v>0.8</v>
      </c>
      <c r="O261">
        <v>2.028</v>
      </c>
      <c r="P261">
        <v>-0.48</v>
      </c>
      <c r="Q261">
        <v>0.92500000000000004</v>
      </c>
      <c r="R261">
        <v>-0.85499999999999998</v>
      </c>
      <c r="S261">
        <v>0</v>
      </c>
      <c r="T261">
        <v>1.78</v>
      </c>
      <c r="U261">
        <v>1.3274999999999999</v>
      </c>
      <c r="V261">
        <v>-0.22612359600000001</v>
      </c>
      <c r="W261">
        <v>-80.352956849999998</v>
      </c>
      <c r="X261">
        <v>120.6029568</v>
      </c>
      <c r="Y261">
        <v>12.14704315</v>
      </c>
      <c r="Z261">
        <v>2.5661010750000002</v>
      </c>
      <c r="AA261">
        <v>21.41</v>
      </c>
      <c r="AB261">
        <v>1.28</v>
      </c>
      <c r="AC261">
        <v>19.2</v>
      </c>
      <c r="AD261">
        <v>788</v>
      </c>
      <c r="AE261">
        <v>4.7023379700000003</v>
      </c>
      <c r="AF261">
        <v>2.3230025090000002</v>
      </c>
      <c r="AG261" t="s">
        <v>540</v>
      </c>
      <c r="AH261">
        <v>0</v>
      </c>
      <c r="AI261">
        <v>0</v>
      </c>
      <c r="AJ261">
        <v>0</v>
      </c>
      <c r="AK261">
        <v>1</v>
      </c>
      <c r="AL261" t="s">
        <v>541</v>
      </c>
      <c r="AM261" t="s">
        <v>335</v>
      </c>
      <c r="AN261">
        <v>7.8399999999999997E-2</v>
      </c>
      <c r="AO261">
        <v>0.62</v>
      </c>
      <c r="AP261">
        <v>76.777500000000003</v>
      </c>
      <c r="AQ261" s="2">
        <v>4.0000000000000002E-4</v>
      </c>
      <c r="AR261">
        <v>901</v>
      </c>
      <c r="AS261">
        <v>1000</v>
      </c>
    </row>
    <row r="262" spans="1:45" x14ac:dyDescent="0.2">
      <c r="A262" t="s">
        <v>551</v>
      </c>
      <c r="B262" t="s">
        <v>513</v>
      </c>
      <c r="C262" t="s">
        <v>514</v>
      </c>
      <c r="D262" t="s">
        <v>552</v>
      </c>
      <c r="E262">
        <v>-38.461110220000002</v>
      </c>
      <c r="F262">
        <v>145.2846965</v>
      </c>
      <c r="G262" t="s">
        <v>553</v>
      </c>
      <c r="H262" t="s">
        <v>554</v>
      </c>
      <c r="I262">
        <v>19.084931510000001</v>
      </c>
      <c r="J262">
        <v>1.57</v>
      </c>
      <c r="K262">
        <v>1.0790742760000001</v>
      </c>
      <c r="L262">
        <v>0.96387006399999997</v>
      </c>
      <c r="M262">
        <f t="shared" si="4"/>
        <v>0.49092572400000001</v>
      </c>
      <c r="N262">
        <v>0.8</v>
      </c>
      <c r="O262">
        <v>2.028</v>
      </c>
      <c r="P262">
        <v>-0.48</v>
      </c>
      <c r="Q262">
        <v>0.92500000000000004</v>
      </c>
      <c r="R262">
        <v>-0.85499999999999998</v>
      </c>
      <c r="S262">
        <v>0</v>
      </c>
      <c r="T262">
        <v>1.78</v>
      </c>
      <c r="U262">
        <v>1.335</v>
      </c>
      <c r="V262">
        <v>-0.230337079</v>
      </c>
      <c r="W262">
        <v>-80.352956849999998</v>
      </c>
      <c r="X262">
        <v>121.3529568</v>
      </c>
      <c r="Y262">
        <v>12.14704315</v>
      </c>
      <c r="Z262">
        <v>0.94892572399999997</v>
      </c>
      <c r="AA262">
        <v>23.31</v>
      </c>
      <c r="AB262">
        <v>1.28</v>
      </c>
      <c r="AC262">
        <v>18.7</v>
      </c>
      <c r="AD262">
        <v>692</v>
      </c>
      <c r="AE262">
        <v>4.0429112140000001</v>
      </c>
      <c r="AF262">
        <v>4.0429078000000001</v>
      </c>
      <c r="AG262" t="s">
        <v>540</v>
      </c>
      <c r="AH262">
        <v>0</v>
      </c>
      <c r="AI262">
        <v>0</v>
      </c>
      <c r="AJ262">
        <v>0</v>
      </c>
      <c r="AK262">
        <v>1</v>
      </c>
      <c r="AL262" t="s">
        <v>541</v>
      </c>
      <c r="AM262" t="s">
        <v>335</v>
      </c>
      <c r="AN262">
        <v>0.93269999999999997</v>
      </c>
      <c r="AO262">
        <v>0.69</v>
      </c>
      <c r="AP262">
        <v>582.77250000000004</v>
      </c>
      <c r="AQ262">
        <v>8.9999999999999993E-3</v>
      </c>
      <c r="AR262">
        <v>1000</v>
      </c>
      <c r="AS262">
        <v>1000</v>
      </c>
    </row>
    <row r="263" spans="1:45" x14ac:dyDescent="0.2">
      <c r="A263" t="s">
        <v>555</v>
      </c>
      <c r="B263" t="s">
        <v>513</v>
      </c>
      <c r="C263" t="s">
        <v>514</v>
      </c>
      <c r="D263" t="s">
        <v>552</v>
      </c>
      <c r="E263">
        <v>-38.461042730000003</v>
      </c>
      <c r="F263">
        <v>145.28501779999999</v>
      </c>
      <c r="G263" t="s">
        <v>553</v>
      </c>
      <c r="H263" t="s">
        <v>554</v>
      </c>
      <c r="I263">
        <v>19.084931510000001</v>
      </c>
      <c r="J263">
        <v>1.2</v>
      </c>
      <c r="K263">
        <v>1.1188711250000001</v>
      </c>
      <c r="L263">
        <v>0.96923057700000004</v>
      </c>
      <c r="M263">
        <f t="shared" si="4"/>
        <v>8.1128874999999878E-2</v>
      </c>
      <c r="N263">
        <v>0.8</v>
      </c>
      <c r="O263">
        <v>2.028</v>
      </c>
      <c r="P263">
        <v>-0.48</v>
      </c>
      <c r="Q263">
        <v>0.92500000000000004</v>
      </c>
      <c r="R263">
        <v>-0.85499999999999998</v>
      </c>
      <c r="S263">
        <v>0</v>
      </c>
      <c r="T263">
        <v>1.78</v>
      </c>
      <c r="U263">
        <v>1.361</v>
      </c>
      <c r="V263">
        <v>-0.24494382000000001</v>
      </c>
      <c r="W263">
        <v>-80.352956849999998</v>
      </c>
      <c r="X263">
        <v>123.9529568</v>
      </c>
      <c r="Y263">
        <v>12.14704315</v>
      </c>
      <c r="Z263">
        <v>0.90912887499999995</v>
      </c>
      <c r="AA263">
        <v>23.31</v>
      </c>
      <c r="AB263">
        <v>1.28</v>
      </c>
      <c r="AC263">
        <v>18.7</v>
      </c>
      <c r="AD263">
        <v>692</v>
      </c>
      <c r="AE263">
        <v>4.0429112140000001</v>
      </c>
      <c r="AF263">
        <v>4.0429078000000001</v>
      </c>
      <c r="AG263" t="s">
        <v>540</v>
      </c>
      <c r="AH263">
        <v>0</v>
      </c>
      <c r="AI263">
        <v>0</v>
      </c>
      <c r="AJ263">
        <v>0</v>
      </c>
      <c r="AK263">
        <v>1</v>
      </c>
      <c r="AL263" t="s">
        <v>541</v>
      </c>
      <c r="AM263" t="s">
        <v>335</v>
      </c>
      <c r="AN263">
        <v>1.7831999999999999</v>
      </c>
      <c r="AO263">
        <v>0.86</v>
      </c>
      <c r="AP263">
        <v>556.12</v>
      </c>
      <c r="AQ263">
        <v>8.9999999999999993E-3</v>
      </c>
      <c r="AR263">
        <v>1000</v>
      </c>
      <c r="AS263">
        <v>1000</v>
      </c>
    </row>
    <row r="264" spans="1:45" x14ac:dyDescent="0.2">
      <c r="A264" t="s">
        <v>556</v>
      </c>
      <c r="B264" t="s">
        <v>513</v>
      </c>
      <c r="C264" t="s">
        <v>514</v>
      </c>
      <c r="D264" t="s">
        <v>552</v>
      </c>
      <c r="E264">
        <v>-38.461010389999998</v>
      </c>
      <c r="F264">
        <v>145.2853537</v>
      </c>
      <c r="G264" t="s">
        <v>553</v>
      </c>
      <c r="H264" t="s">
        <v>554</v>
      </c>
      <c r="I264">
        <v>19.084931510000001</v>
      </c>
      <c r="J264">
        <v>1.42</v>
      </c>
      <c r="K264">
        <v>1.30256317</v>
      </c>
      <c r="L264">
        <v>0.98639045800000003</v>
      </c>
      <c r="M264">
        <f t="shared" si="4"/>
        <v>0.11743682999999994</v>
      </c>
      <c r="N264">
        <v>0.8</v>
      </c>
      <c r="O264">
        <v>2.028</v>
      </c>
      <c r="P264">
        <v>-0.48</v>
      </c>
      <c r="Q264">
        <v>0.92500000000000004</v>
      </c>
      <c r="R264">
        <v>-0.85499999999999998</v>
      </c>
      <c r="S264">
        <v>0</v>
      </c>
      <c r="T264">
        <v>1.78</v>
      </c>
      <c r="U264">
        <v>1.319</v>
      </c>
      <c r="V264">
        <v>-0.22134831499999999</v>
      </c>
      <c r="W264">
        <v>-80.352956849999998</v>
      </c>
      <c r="X264">
        <v>119.75295680000001</v>
      </c>
      <c r="Y264">
        <v>12.14704315</v>
      </c>
      <c r="Z264">
        <v>0.72543683000000003</v>
      </c>
      <c r="AA264">
        <v>23.31</v>
      </c>
      <c r="AB264">
        <v>1.28</v>
      </c>
      <c r="AC264">
        <v>18.7</v>
      </c>
      <c r="AD264">
        <v>692</v>
      </c>
      <c r="AE264">
        <v>4.0429112140000001</v>
      </c>
      <c r="AF264">
        <v>4.0429078000000001</v>
      </c>
      <c r="AG264" t="s">
        <v>540</v>
      </c>
      <c r="AH264">
        <v>0</v>
      </c>
      <c r="AI264">
        <v>0</v>
      </c>
      <c r="AJ264">
        <v>0</v>
      </c>
      <c r="AK264">
        <v>1</v>
      </c>
      <c r="AL264" t="s">
        <v>541</v>
      </c>
      <c r="AM264" t="s">
        <v>335</v>
      </c>
      <c r="AN264">
        <v>0.96299999999999997</v>
      </c>
      <c r="AO264">
        <v>0.91</v>
      </c>
      <c r="AP264">
        <v>565.48749999999995</v>
      </c>
      <c r="AQ264">
        <v>8.9999999999999993E-3</v>
      </c>
      <c r="AR264">
        <v>1000</v>
      </c>
      <c r="AS264">
        <v>1000</v>
      </c>
    </row>
    <row r="265" spans="1:45" x14ac:dyDescent="0.2">
      <c r="A265" t="s">
        <v>557</v>
      </c>
      <c r="B265" t="s">
        <v>513</v>
      </c>
      <c r="C265" t="s">
        <v>514</v>
      </c>
      <c r="D265" t="s">
        <v>558</v>
      </c>
      <c r="E265">
        <v>-38.308121</v>
      </c>
      <c r="F265">
        <v>145.42603879999999</v>
      </c>
      <c r="G265" t="s">
        <v>559</v>
      </c>
      <c r="H265" s="1">
        <v>43780</v>
      </c>
      <c r="I265">
        <v>19.084931510000001</v>
      </c>
      <c r="J265">
        <v>3.72</v>
      </c>
      <c r="K265">
        <v>3.5378808780000002</v>
      </c>
      <c r="L265">
        <v>0.99200551699999995</v>
      </c>
      <c r="M265">
        <f t="shared" si="4"/>
        <v>0.18211912200000002</v>
      </c>
      <c r="N265">
        <v>0.8</v>
      </c>
      <c r="O265">
        <v>2.028</v>
      </c>
      <c r="P265">
        <v>-0.48</v>
      </c>
      <c r="Q265">
        <v>0.92500000000000004</v>
      </c>
      <c r="R265">
        <v>-0.85499999999999998</v>
      </c>
      <c r="S265">
        <v>0</v>
      </c>
      <c r="T265">
        <v>1.78</v>
      </c>
      <c r="U265">
        <v>1.6259999999999999</v>
      </c>
      <c r="V265">
        <v>-0.39382022500000002</v>
      </c>
      <c r="W265">
        <v>-80.352956849999998</v>
      </c>
      <c r="X265">
        <v>150.45295680000001</v>
      </c>
      <c r="Y265">
        <v>12.14704315</v>
      </c>
      <c r="Z265">
        <v>-1.5098808779999999</v>
      </c>
      <c r="AA265">
        <v>24.98</v>
      </c>
      <c r="AB265">
        <v>0.24</v>
      </c>
      <c r="AC265">
        <v>18.7</v>
      </c>
      <c r="AD265">
        <v>692</v>
      </c>
      <c r="AE265">
        <v>12.283755299999999</v>
      </c>
      <c r="AF265">
        <v>3.2700081669999999</v>
      </c>
      <c r="AG265" t="s">
        <v>540</v>
      </c>
      <c r="AH265">
        <v>0</v>
      </c>
      <c r="AI265">
        <v>0</v>
      </c>
      <c r="AJ265">
        <v>0</v>
      </c>
      <c r="AK265">
        <v>1</v>
      </c>
      <c r="AL265" t="s">
        <v>541</v>
      </c>
      <c r="AM265" t="s">
        <v>335</v>
      </c>
      <c r="AN265">
        <v>-6.6400000000000001E-2</v>
      </c>
      <c r="AO265">
        <v>6.25E-2</v>
      </c>
      <c r="AP265">
        <v>147.44999999999999</v>
      </c>
      <c r="AQ265">
        <v>0.17499999999999999</v>
      </c>
      <c r="AR265">
        <v>1000</v>
      </c>
      <c r="AS265">
        <v>2220.6325299999999</v>
      </c>
    </row>
    <row r="266" spans="1:45" x14ac:dyDescent="0.2">
      <c r="A266" t="s">
        <v>560</v>
      </c>
      <c r="B266" t="s">
        <v>513</v>
      </c>
      <c r="C266" t="s">
        <v>514</v>
      </c>
      <c r="D266" t="s">
        <v>558</v>
      </c>
      <c r="E266">
        <v>-38.308231030000002</v>
      </c>
      <c r="F266">
        <v>145.4265268</v>
      </c>
      <c r="G266" t="s">
        <v>559</v>
      </c>
      <c r="H266" s="1">
        <v>43780</v>
      </c>
      <c r="I266">
        <v>19.084931510000001</v>
      </c>
      <c r="J266">
        <v>2.96</v>
      </c>
      <c r="K266">
        <v>3.0793006749999998</v>
      </c>
      <c r="L266">
        <v>0.98918267199999999</v>
      </c>
      <c r="M266">
        <f t="shared" si="4"/>
        <v>-0.11930067499999986</v>
      </c>
      <c r="N266">
        <v>0.8</v>
      </c>
      <c r="O266">
        <v>2.028</v>
      </c>
      <c r="P266">
        <v>-0.48</v>
      </c>
      <c r="Q266">
        <v>0.92500000000000004</v>
      </c>
      <c r="R266">
        <v>-0.85499999999999998</v>
      </c>
      <c r="S266">
        <v>0</v>
      </c>
      <c r="T266">
        <v>1.78</v>
      </c>
      <c r="U266">
        <v>1.631</v>
      </c>
      <c r="V266">
        <v>-0.39662921299999998</v>
      </c>
      <c r="W266">
        <v>-80.352956849999998</v>
      </c>
      <c r="X266">
        <v>150.95295680000001</v>
      </c>
      <c r="Y266">
        <v>12.14704315</v>
      </c>
      <c r="Z266">
        <v>-1.051300675</v>
      </c>
      <c r="AA266">
        <v>24.98</v>
      </c>
      <c r="AB266">
        <v>0.24</v>
      </c>
      <c r="AC266">
        <v>18.7</v>
      </c>
      <c r="AD266">
        <v>692</v>
      </c>
      <c r="AE266">
        <v>12.283755299999999</v>
      </c>
      <c r="AF266">
        <v>3.2700081669999999</v>
      </c>
      <c r="AG266" t="s">
        <v>540</v>
      </c>
      <c r="AH266">
        <v>0</v>
      </c>
      <c r="AI266">
        <v>0</v>
      </c>
      <c r="AJ266">
        <v>0</v>
      </c>
      <c r="AK266">
        <v>1</v>
      </c>
      <c r="AL266" t="s">
        <v>541</v>
      </c>
      <c r="AM266" t="s">
        <v>335</v>
      </c>
      <c r="AN266">
        <v>3.1E-2</v>
      </c>
      <c r="AO266">
        <v>1.06E-2</v>
      </c>
      <c r="AP266">
        <v>158.91999999999999</v>
      </c>
      <c r="AQ266">
        <v>0.17499999999999999</v>
      </c>
      <c r="AR266">
        <v>1000</v>
      </c>
      <c r="AS266">
        <v>1000</v>
      </c>
    </row>
    <row r="267" spans="1:45" x14ac:dyDescent="0.2">
      <c r="A267" t="s">
        <v>561</v>
      </c>
      <c r="B267" t="s">
        <v>513</v>
      </c>
      <c r="C267" t="s">
        <v>514</v>
      </c>
      <c r="D267" t="s">
        <v>558</v>
      </c>
      <c r="E267">
        <v>-38.308206910000003</v>
      </c>
      <c r="F267">
        <v>145.42705419999999</v>
      </c>
      <c r="G267" t="s">
        <v>559</v>
      </c>
      <c r="H267" s="1">
        <v>43780</v>
      </c>
      <c r="I267">
        <v>19.084931510000001</v>
      </c>
      <c r="J267">
        <v>2.96</v>
      </c>
      <c r="K267">
        <v>2.25755127</v>
      </c>
      <c r="L267">
        <v>0.983987269</v>
      </c>
      <c r="M267">
        <f t="shared" si="4"/>
        <v>0.70244872999999997</v>
      </c>
      <c r="N267">
        <v>0.8</v>
      </c>
      <c r="O267">
        <v>2.028</v>
      </c>
      <c r="P267">
        <v>-0.48</v>
      </c>
      <c r="Q267">
        <v>0.92500000000000004</v>
      </c>
      <c r="R267">
        <v>-0.85499999999999998</v>
      </c>
      <c r="S267">
        <v>0</v>
      </c>
      <c r="T267">
        <v>1.78</v>
      </c>
      <c r="U267">
        <v>1.593</v>
      </c>
      <c r="V267">
        <v>-0.375280899</v>
      </c>
      <c r="W267">
        <v>-80.352956849999998</v>
      </c>
      <c r="X267">
        <v>147.1529568</v>
      </c>
      <c r="Y267">
        <v>12.14704315</v>
      </c>
      <c r="Z267">
        <v>-0.22955127</v>
      </c>
      <c r="AA267">
        <v>24.98</v>
      </c>
      <c r="AB267">
        <v>0.24</v>
      </c>
      <c r="AC267">
        <v>18.7</v>
      </c>
      <c r="AD267">
        <v>692</v>
      </c>
      <c r="AE267">
        <v>12.283755299999999</v>
      </c>
      <c r="AF267">
        <v>3.2700081669999999</v>
      </c>
      <c r="AG267" t="s">
        <v>540</v>
      </c>
      <c r="AH267">
        <v>0</v>
      </c>
      <c r="AI267">
        <v>0</v>
      </c>
      <c r="AJ267">
        <v>0</v>
      </c>
      <c r="AK267">
        <v>1</v>
      </c>
      <c r="AL267" t="s">
        <v>541</v>
      </c>
      <c r="AM267" t="s">
        <v>335</v>
      </c>
      <c r="AN267">
        <v>0.4995</v>
      </c>
      <c r="AO267">
        <v>0.9</v>
      </c>
      <c r="AP267">
        <v>157.27250000000001</v>
      </c>
      <c r="AQ267">
        <v>0.17499999999999999</v>
      </c>
      <c r="AR267">
        <v>1000</v>
      </c>
      <c r="AS267">
        <v>1000</v>
      </c>
    </row>
    <row r="268" spans="1:45" x14ac:dyDescent="0.2">
      <c r="A268" t="s">
        <v>562</v>
      </c>
      <c r="B268" t="s">
        <v>513</v>
      </c>
      <c r="C268" t="s">
        <v>514</v>
      </c>
      <c r="D268" t="s">
        <v>563</v>
      </c>
      <c r="E268">
        <v>-34.626442079999997</v>
      </c>
      <c r="F268">
        <v>150.8442799</v>
      </c>
      <c r="G268" s="1">
        <v>37204</v>
      </c>
      <c r="H268" t="s">
        <v>564</v>
      </c>
      <c r="I268">
        <v>15.517808219999999</v>
      </c>
      <c r="J268">
        <v>0.84</v>
      </c>
      <c r="K268">
        <v>1.15030414</v>
      </c>
      <c r="L268">
        <v>0.66882225500000003</v>
      </c>
      <c r="M268">
        <f t="shared" si="4"/>
        <v>-0.31030414000000006</v>
      </c>
      <c r="N268">
        <v>1.1200000000000001</v>
      </c>
      <c r="O268">
        <v>2.85</v>
      </c>
      <c r="P268">
        <v>-0.36</v>
      </c>
      <c r="Q268">
        <v>0.50800000000000001</v>
      </c>
      <c r="R268">
        <v>-0.28199999999999997</v>
      </c>
      <c r="S268">
        <v>0.113</v>
      </c>
      <c r="T268">
        <v>0.79</v>
      </c>
      <c r="U268">
        <v>0.52559999999999996</v>
      </c>
      <c r="V268">
        <v>-2.2278480999999999E-2</v>
      </c>
      <c r="W268">
        <v>-42.170180090000002</v>
      </c>
      <c r="X268">
        <v>43.93018009</v>
      </c>
      <c r="Y268">
        <v>8.6298199100000001</v>
      </c>
      <c r="Z268">
        <v>1.6996958600000001</v>
      </c>
      <c r="AA268">
        <v>4.4400000000000004</v>
      </c>
      <c r="AB268">
        <v>1.21</v>
      </c>
      <c r="AC268">
        <v>22.7</v>
      </c>
      <c r="AD268">
        <v>1037</v>
      </c>
      <c r="AE268">
        <v>0.61883539499999995</v>
      </c>
      <c r="AF268">
        <v>0.45419567999999999</v>
      </c>
      <c r="AG268" t="s">
        <v>516</v>
      </c>
      <c r="AH268">
        <v>0</v>
      </c>
      <c r="AI268">
        <v>1</v>
      </c>
      <c r="AJ268">
        <v>0</v>
      </c>
      <c r="AK268">
        <v>0</v>
      </c>
      <c r="AL268" t="s">
        <v>54</v>
      </c>
      <c r="AM268" t="s">
        <v>275</v>
      </c>
      <c r="AN268">
        <v>-0.17449999999999999</v>
      </c>
      <c r="AO268">
        <v>0.12</v>
      </c>
      <c r="AP268">
        <v>344.88249999999999</v>
      </c>
      <c r="AQ268">
        <v>7.0000000000000001E-3</v>
      </c>
      <c r="AR268">
        <v>1000</v>
      </c>
      <c r="AS268">
        <v>1976.4040110000001</v>
      </c>
    </row>
    <row r="269" spans="1:45" x14ac:dyDescent="0.2">
      <c r="A269" t="s">
        <v>565</v>
      </c>
      <c r="B269" t="s">
        <v>513</v>
      </c>
      <c r="C269" t="s">
        <v>514</v>
      </c>
      <c r="D269" t="s">
        <v>563</v>
      </c>
      <c r="E269">
        <v>-34.626621839999999</v>
      </c>
      <c r="F269">
        <v>150.84443519999999</v>
      </c>
      <c r="G269" s="1">
        <v>37204</v>
      </c>
      <c r="H269" t="s">
        <v>564</v>
      </c>
      <c r="I269">
        <v>15.517808219999999</v>
      </c>
      <c r="J269">
        <v>0.4</v>
      </c>
      <c r="K269">
        <v>0.18533002500000001</v>
      </c>
      <c r="L269">
        <v>0.102346148</v>
      </c>
      <c r="M269">
        <f t="shared" si="4"/>
        <v>0.21466997500000001</v>
      </c>
      <c r="N269">
        <v>1.1200000000000001</v>
      </c>
      <c r="O269">
        <v>2.85</v>
      </c>
      <c r="P269">
        <v>-0.36</v>
      </c>
      <c r="Q269">
        <v>0.50800000000000001</v>
      </c>
      <c r="R269">
        <v>-0.28199999999999997</v>
      </c>
      <c r="S269">
        <v>0.113</v>
      </c>
      <c r="T269">
        <v>0.79</v>
      </c>
      <c r="U269">
        <v>0.60340000000000005</v>
      </c>
      <c r="V269">
        <v>-0.120759494</v>
      </c>
      <c r="W269">
        <v>-42.170180090000002</v>
      </c>
      <c r="X269">
        <v>51.710180090000001</v>
      </c>
      <c r="Y269">
        <v>8.6298199100000001</v>
      </c>
      <c r="Z269">
        <v>2.6646699749999998</v>
      </c>
      <c r="AA269">
        <v>3.6</v>
      </c>
      <c r="AB269">
        <v>1.21</v>
      </c>
      <c r="AC269">
        <v>22.7</v>
      </c>
      <c r="AD269">
        <v>1037</v>
      </c>
      <c r="AE269">
        <v>0.61883539499999995</v>
      </c>
      <c r="AF269">
        <v>0.45419567999999999</v>
      </c>
      <c r="AG269" t="s">
        <v>516</v>
      </c>
      <c r="AH269">
        <v>0</v>
      </c>
      <c r="AI269">
        <v>1</v>
      </c>
      <c r="AJ269">
        <v>0</v>
      </c>
      <c r="AK269">
        <v>0</v>
      </c>
      <c r="AL269" t="s">
        <v>54</v>
      </c>
      <c r="AM269" t="s">
        <v>275</v>
      </c>
      <c r="AN269">
        <v>0.57950000000000002</v>
      </c>
      <c r="AO269">
        <v>0.89</v>
      </c>
      <c r="AP269">
        <v>350.98500000000001</v>
      </c>
      <c r="AQ269">
        <v>7.0000000000000001E-3</v>
      </c>
      <c r="AR269">
        <v>553</v>
      </c>
      <c r="AS269">
        <v>1000</v>
      </c>
    </row>
    <row r="270" spans="1:45" x14ac:dyDescent="0.2">
      <c r="A270" t="s">
        <v>566</v>
      </c>
      <c r="B270" t="s">
        <v>513</v>
      </c>
      <c r="C270" t="s">
        <v>514</v>
      </c>
      <c r="D270" t="s">
        <v>563</v>
      </c>
      <c r="E270">
        <v>-34.6272041</v>
      </c>
      <c r="F270">
        <v>150.8447548</v>
      </c>
      <c r="G270" s="1">
        <v>37204</v>
      </c>
      <c r="H270" t="s">
        <v>564</v>
      </c>
      <c r="I270">
        <v>15.517808219999999</v>
      </c>
      <c r="J270">
        <v>0.15</v>
      </c>
      <c r="K270">
        <v>0.14400042800000001</v>
      </c>
      <c r="L270">
        <v>4.6443726999999997E-2</v>
      </c>
      <c r="M270">
        <f t="shared" si="4"/>
        <v>5.9995719999999808E-3</v>
      </c>
      <c r="N270">
        <v>1.1200000000000001</v>
      </c>
      <c r="O270">
        <v>2.85</v>
      </c>
      <c r="P270">
        <v>-0.36</v>
      </c>
      <c r="Q270">
        <v>0.50800000000000001</v>
      </c>
      <c r="R270">
        <v>-0.28199999999999997</v>
      </c>
      <c r="S270">
        <v>0.113</v>
      </c>
      <c r="T270">
        <v>0.79</v>
      </c>
      <c r="U270">
        <v>0.66900000000000004</v>
      </c>
      <c r="V270">
        <v>-0.20379746800000001</v>
      </c>
      <c r="W270">
        <v>-42.170180090000002</v>
      </c>
      <c r="X270">
        <v>58.270180089999997</v>
      </c>
      <c r="Y270">
        <v>8.6298199100000001</v>
      </c>
      <c r="Z270">
        <v>2.7059995720000001</v>
      </c>
      <c r="AA270">
        <v>4.29</v>
      </c>
      <c r="AB270">
        <v>1.21</v>
      </c>
      <c r="AC270">
        <v>22.7</v>
      </c>
      <c r="AD270">
        <v>1037</v>
      </c>
      <c r="AE270">
        <v>0.61883539499999995</v>
      </c>
      <c r="AF270">
        <v>0.45419567999999999</v>
      </c>
      <c r="AG270" t="s">
        <v>516</v>
      </c>
      <c r="AH270">
        <v>0</v>
      </c>
      <c r="AI270">
        <v>1</v>
      </c>
      <c r="AJ270">
        <v>0</v>
      </c>
      <c r="AK270">
        <v>0</v>
      </c>
      <c r="AL270" t="s">
        <v>54</v>
      </c>
      <c r="AM270" t="s">
        <v>275</v>
      </c>
      <c r="AN270">
        <v>0.94730000000000003</v>
      </c>
      <c r="AO270">
        <v>0.82</v>
      </c>
      <c r="AP270">
        <v>365.1</v>
      </c>
      <c r="AQ270">
        <v>7.0000000000000001E-3</v>
      </c>
      <c r="AR270">
        <v>597</v>
      </c>
      <c r="AS270">
        <v>1000</v>
      </c>
    </row>
    <row r="271" spans="1:45" x14ac:dyDescent="0.2">
      <c r="A271" t="s">
        <v>567</v>
      </c>
      <c r="B271" t="s">
        <v>513</v>
      </c>
      <c r="C271" t="s">
        <v>514</v>
      </c>
      <c r="D271" t="s">
        <v>568</v>
      </c>
      <c r="E271">
        <v>-28.189485449999999</v>
      </c>
      <c r="F271">
        <v>153.54709120000001</v>
      </c>
      <c r="G271" t="s">
        <v>570</v>
      </c>
      <c r="H271" t="s">
        <v>571</v>
      </c>
      <c r="I271">
        <v>17.158904110000002</v>
      </c>
      <c r="J271">
        <v>1.93</v>
      </c>
      <c r="K271">
        <v>0.12955092200000001</v>
      </c>
      <c r="L271">
        <v>8.9442761999999995E-2</v>
      </c>
      <c r="M271">
        <f t="shared" si="4"/>
        <v>1.800449078</v>
      </c>
      <c r="N271">
        <v>1.21</v>
      </c>
      <c r="O271">
        <v>3.85</v>
      </c>
      <c r="P271">
        <v>-0.36</v>
      </c>
      <c r="Q271">
        <v>0.37</v>
      </c>
      <c r="R271">
        <v>-0.36899999999999999</v>
      </c>
      <c r="S271">
        <v>0</v>
      </c>
      <c r="T271">
        <v>0.73899999999999999</v>
      </c>
      <c r="U271">
        <v>0.56899999999999995</v>
      </c>
      <c r="V271">
        <v>-0.26928281500000001</v>
      </c>
      <c r="W271">
        <v>-39.033387570000002</v>
      </c>
      <c r="X271">
        <v>58.933387570000001</v>
      </c>
      <c r="Y271">
        <v>-2.0333875670000001</v>
      </c>
      <c r="Z271">
        <v>3.7204490780000001</v>
      </c>
      <c r="AA271">
        <v>2.4</v>
      </c>
      <c r="AB271">
        <v>0.99</v>
      </c>
      <c r="AC271">
        <v>24.8</v>
      </c>
      <c r="AD271">
        <v>1480</v>
      </c>
      <c r="AE271">
        <v>0.70539854300000004</v>
      </c>
      <c r="AF271">
        <v>0.185790433</v>
      </c>
      <c r="AG271" t="s">
        <v>569</v>
      </c>
      <c r="AH271">
        <v>0</v>
      </c>
      <c r="AI271">
        <v>1</v>
      </c>
      <c r="AJ271">
        <v>0</v>
      </c>
      <c r="AK271">
        <v>0</v>
      </c>
      <c r="AL271" t="s">
        <v>54</v>
      </c>
      <c r="AM271" t="s">
        <v>275</v>
      </c>
      <c r="AN271">
        <v>-0.192</v>
      </c>
      <c r="AO271">
        <v>0.8</v>
      </c>
      <c r="AP271">
        <v>107.27</v>
      </c>
      <c r="AQ271">
        <v>0.01</v>
      </c>
      <c r="AR271">
        <v>545</v>
      </c>
      <c r="AS271">
        <v>558.69791669999995</v>
      </c>
    </row>
    <row r="272" spans="1:45" x14ac:dyDescent="0.2">
      <c r="A272" t="s">
        <v>572</v>
      </c>
      <c r="B272" t="s">
        <v>513</v>
      </c>
      <c r="C272" t="s">
        <v>514</v>
      </c>
      <c r="D272" t="s">
        <v>568</v>
      </c>
      <c r="E272">
        <v>-28.18918283</v>
      </c>
      <c r="F272">
        <v>153.54762959999999</v>
      </c>
      <c r="G272" t="s">
        <v>570</v>
      </c>
      <c r="H272" t="s">
        <v>571</v>
      </c>
      <c r="I272">
        <v>17.158904110000002</v>
      </c>
      <c r="J272">
        <v>2.23</v>
      </c>
      <c r="K272">
        <v>0.42091517899999997</v>
      </c>
      <c r="L272">
        <v>0.52258275499999995</v>
      </c>
      <c r="M272">
        <f t="shared" si="4"/>
        <v>1.8090848209999999</v>
      </c>
      <c r="N272">
        <v>1.21</v>
      </c>
      <c r="O272">
        <v>3.85</v>
      </c>
      <c r="P272">
        <v>-0.36</v>
      </c>
      <c r="Q272">
        <v>0.37</v>
      </c>
      <c r="R272">
        <v>-0.36899999999999999</v>
      </c>
      <c r="S272">
        <v>0</v>
      </c>
      <c r="T272">
        <v>0.73899999999999999</v>
      </c>
      <c r="U272">
        <v>0.61499999999999999</v>
      </c>
      <c r="V272">
        <v>-0.331529093</v>
      </c>
      <c r="W272">
        <v>-39.033387570000002</v>
      </c>
      <c r="X272">
        <v>63.533387570000002</v>
      </c>
      <c r="Y272">
        <v>-2.0333875670000001</v>
      </c>
      <c r="Z272">
        <v>3.429084821</v>
      </c>
      <c r="AA272">
        <v>2.4</v>
      </c>
      <c r="AB272">
        <v>0.99</v>
      </c>
      <c r="AC272">
        <v>24.8</v>
      </c>
      <c r="AD272">
        <v>1480</v>
      </c>
      <c r="AE272">
        <v>0.70539854300000004</v>
      </c>
      <c r="AF272">
        <v>0.185790433</v>
      </c>
      <c r="AG272" t="s">
        <v>569</v>
      </c>
      <c r="AH272">
        <v>0</v>
      </c>
      <c r="AI272">
        <v>1</v>
      </c>
      <c r="AJ272">
        <v>0</v>
      </c>
      <c r="AK272">
        <v>0</v>
      </c>
      <c r="AL272" t="s">
        <v>54</v>
      </c>
      <c r="AM272" t="s">
        <v>275</v>
      </c>
      <c r="AN272">
        <v>-5.8000000000000003E-2</v>
      </c>
      <c r="AO272">
        <v>0.92</v>
      </c>
      <c r="AP272">
        <v>148.965</v>
      </c>
      <c r="AQ272">
        <v>0.01</v>
      </c>
      <c r="AR272">
        <v>805</v>
      </c>
      <c r="AS272">
        <v>2568.3620689999998</v>
      </c>
    </row>
    <row r="273" spans="1:45" x14ac:dyDescent="0.2">
      <c r="A273" t="s">
        <v>573</v>
      </c>
      <c r="B273" t="s">
        <v>513</v>
      </c>
      <c r="C273" t="s">
        <v>514</v>
      </c>
      <c r="D273" t="s">
        <v>568</v>
      </c>
      <c r="E273">
        <v>-28.18854039</v>
      </c>
      <c r="F273">
        <v>153.5478219</v>
      </c>
      <c r="G273" t="s">
        <v>570</v>
      </c>
      <c r="H273" t="s">
        <v>571</v>
      </c>
      <c r="I273">
        <v>17.158904110000002</v>
      </c>
      <c r="J273">
        <v>0.77</v>
      </c>
      <c r="K273">
        <v>0.15637980400000001</v>
      </c>
      <c r="L273">
        <v>0.207232213</v>
      </c>
      <c r="M273">
        <f t="shared" si="4"/>
        <v>0.61362019600000006</v>
      </c>
      <c r="N273">
        <v>1.21</v>
      </c>
      <c r="O273">
        <v>3.85</v>
      </c>
      <c r="P273">
        <v>-0.36</v>
      </c>
      <c r="Q273">
        <v>0.37</v>
      </c>
      <c r="R273">
        <v>-0.36899999999999999</v>
      </c>
      <c r="S273">
        <v>0</v>
      </c>
      <c r="T273">
        <v>0.73899999999999999</v>
      </c>
      <c r="U273">
        <v>0.67633333299999998</v>
      </c>
      <c r="V273">
        <v>-0.41452413100000002</v>
      </c>
      <c r="W273">
        <v>-39.033387570000002</v>
      </c>
      <c r="X273">
        <v>69.666720870000006</v>
      </c>
      <c r="Y273">
        <v>-2.0333875670000001</v>
      </c>
      <c r="Z273">
        <v>3.6936201959999999</v>
      </c>
      <c r="AA273">
        <v>2.4</v>
      </c>
      <c r="AB273">
        <v>0.99</v>
      </c>
      <c r="AC273">
        <v>24.8</v>
      </c>
      <c r="AD273">
        <v>1480</v>
      </c>
      <c r="AE273">
        <v>0.70539854300000004</v>
      </c>
      <c r="AF273">
        <v>0.185790433</v>
      </c>
      <c r="AG273" t="s">
        <v>569</v>
      </c>
      <c r="AH273">
        <v>0</v>
      </c>
      <c r="AI273">
        <v>1</v>
      </c>
      <c r="AJ273">
        <v>0</v>
      </c>
      <c r="AK273">
        <v>0</v>
      </c>
      <c r="AL273" t="s">
        <v>54</v>
      </c>
      <c r="AM273" t="s">
        <v>275</v>
      </c>
      <c r="AN273">
        <v>0.2094</v>
      </c>
      <c r="AO273">
        <v>0.71</v>
      </c>
      <c r="AP273">
        <v>384.0575</v>
      </c>
      <c r="AQ273">
        <v>0.01</v>
      </c>
      <c r="AR273">
        <v>661</v>
      </c>
      <c r="AS273">
        <v>1000</v>
      </c>
    </row>
    <row r="274" spans="1:45" x14ac:dyDescent="0.2">
      <c r="A274" t="s">
        <v>574</v>
      </c>
      <c r="B274" t="s">
        <v>513</v>
      </c>
      <c r="C274" t="s">
        <v>514</v>
      </c>
      <c r="D274" t="s">
        <v>575</v>
      </c>
      <c r="E274">
        <v>-33.626944440000003</v>
      </c>
      <c r="F274">
        <v>151.12055559999999</v>
      </c>
      <c r="G274" s="1">
        <v>37572</v>
      </c>
      <c r="H274" s="1">
        <v>42775</v>
      </c>
      <c r="I274">
        <v>14.7369863</v>
      </c>
      <c r="J274">
        <v>3.5561184720000001</v>
      </c>
      <c r="K274">
        <v>1.519077708</v>
      </c>
      <c r="L274">
        <v>0.75122152799999997</v>
      </c>
      <c r="M274">
        <f t="shared" si="4"/>
        <v>2.0370407640000003</v>
      </c>
      <c r="N274">
        <v>1.1200000000000001</v>
      </c>
      <c r="O274">
        <v>3.42</v>
      </c>
      <c r="P274">
        <v>-0.4</v>
      </c>
      <c r="Q274">
        <v>0.63500000000000001</v>
      </c>
      <c r="R274">
        <v>-0.46800000000000003</v>
      </c>
      <c r="S274">
        <v>8.4000000000000005E-2</v>
      </c>
      <c r="T274">
        <v>1.103</v>
      </c>
      <c r="U274">
        <v>0.59699999999999998</v>
      </c>
      <c r="V274">
        <v>3.4451495999999998E-2</v>
      </c>
      <c r="W274">
        <v>-57.857947709999998</v>
      </c>
      <c r="X274">
        <v>54.057947710000001</v>
      </c>
      <c r="Y274">
        <v>5.6420522890000004</v>
      </c>
      <c r="Z274">
        <v>1.900922292</v>
      </c>
      <c r="AA274">
        <v>27.96</v>
      </c>
      <c r="AB274">
        <v>0.79500000000000004</v>
      </c>
      <c r="AC274">
        <v>22</v>
      </c>
      <c r="AD274">
        <v>1154</v>
      </c>
      <c r="AE274">
        <v>0.222167855</v>
      </c>
      <c r="AF274">
        <v>5.2688965999999997E-2</v>
      </c>
      <c r="AG274" t="s">
        <v>47</v>
      </c>
      <c r="AH274">
        <v>0</v>
      </c>
      <c r="AI274">
        <v>0</v>
      </c>
      <c r="AJ274">
        <v>1</v>
      </c>
      <c r="AK274">
        <v>0</v>
      </c>
      <c r="AL274" t="s">
        <v>48</v>
      </c>
      <c r="AM274" t="s">
        <v>530</v>
      </c>
      <c r="AN274">
        <v>0.1065</v>
      </c>
      <c r="AO274">
        <v>0.97</v>
      </c>
      <c r="AP274">
        <v>30.807500000000001</v>
      </c>
      <c r="AQ274">
        <v>4.0000000000000001E-3</v>
      </c>
      <c r="AR274">
        <v>1000</v>
      </c>
      <c r="AS274">
        <v>1000</v>
      </c>
    </row>
    <row r="275" spans="1:45" x14ac:dyDescent="0.2">
      <c r="A275" t="s">
        <v>576</v>
      </c>
      <c r="B275" t="s">
        <v>513</v>
      </c>
      <c r="C275" t="s">
        <v>514</v>
      </c>
      <c r="D275" t="s">
        <v>575</v>
      </c>
      <c r="E275">
        <v>-33.626666669999999</v>
      </c>
      <c r="F275">
        <v>151.12055559999999</v>
      </c>
      <c r="G275" s="1">
        <v>37572</v>
      </c>
      <c r="H275" s="1">
        <v>42775</v>
      </c>
      <c r="I275">
        <v>14.7369863</v>
      </c>
      <c r="J275">
        <v>1.422447389</v>
      </c>
      <c r="K275">
        <v>1.4877705349999999</v>
      </c>
      <c r="L275">
        <v>0.94394369899999997</v>
      </c>
      <c r="M275">
        <f t="shared" si="4"/>
        <v>-6.5323145999999888E-2</v>
      </c>
      <c r="N275">
        <v>1.1200000000000001</v>
      </c>
      <c r="O275">
        <v>3.42</v>
      </c>
      <c r="P275">
        <v>-0.4</v>
      </c>
      <c r="Q275">
        <v>0.63500000000000001</v>
      </c>
      <c r="R275">
        <v>-0.46800000000000003</v>
      </c>
      <c r="S275">
        <v>8.4000000000000005E-2</v>
      </c>
      <c r="T275">
        <v>1.103</v>
      </c>
      <c r="U275">
        <v>0.59699999999999998</v>
      </c>
      <c r="V275">
        <v>3.4451495999999998E-2</v>
      </c>
      <c r="W275">
        <v>-57.857947709999998</v>
      </c>
      <c r="X275">
        <v>54.057947710000001</v>
      </c>
      <c r="Y275">
        <v>5.6420522890000004</v>
      </c>
      <c r="Z275">
        <v>1.932229465</v>
      </c>
      <c r="AA275">
        <v>26.48</v>
      </c>
      <c r="AB275">
        <v>0.79500000000000004</v>
      </c>
      <c r="AC275">
        <v>22</v>
      </c>
      <c r="AD275">
        <v>1154</v>
      </c>
      <c r="AE275">
        <v>0.222167855</v>
      </c>
      <c r="AF275">
        <v>5.2688965999999997E-2</v>
      </c>
      <c r="AG275" t="s">
        <v>47</v>
      </c>
      <c r="AH275">
        <v>0</v>
      </c>
      <c r="AI275">
        <v>0</v>
      </c>
      <c r="AJ275">
        <v>1</v>
      </c>
      <c r="AK275">
        <v>0</v>
      </c>
      <c r="AL275" t="s">
        <v>48</v>
      </c>
      <c r="AM275" t="s">
        <v>530</v>
      </c>
      <c r="AN275">
        <v>2.5000000000000001E-2</v>
      </c>
      <c r="AO275">
        <v>9.6000000000000002E-2</v>
      </c>
      <c r="AP275">
        <v>27.262499999999999</v>
      </c>
      <c r="AQ275">
        <v>4.0000000000000001E-3</v>
      </c>
      <c r="AR275">
        <v>1000</v>
      </c>
      <c r="AS275">
        <v>1000</v>
      </c>
    </row>
    <row r="276" spans="1:45" x14ac:dyDescent="0.2">
      <c r="A276" t="s">
        <v>577</v>
      </c>
      <c r="B276" t="s">
        <v>513</v>
      </c>
      <c r="C276" t="s">
        <v>514</v>
      </c>
      <c r="D276" t="s">
        <v>575</v>
      </c>
      <c r="E276">
        <v>-33.626388890000001</v>
      </c>
      <c r="F276">
        <v>151.12055559999999</v>
      </c>
      <c r="G276" s="1">
        <v>37572</v>
      </c>
      <c r="H276" s="1">
        <v>42775</v>
      </c>
      <c r="I276">
        <v>14.7369863</v>
      </c>
      <c r="J276">
        <v>3.2716289949999999</v>
      </c>
      <c r="K276">
        <v>0.79481152099999997</v>
      </c>
      <c r="L276">
        <v>0.36207926499999998</v>
      </c>
      <c r="M276">
        <f t="shared" si="4"/>
        <v>2.4768174739999997</v>
      </c>
      <c r="N276">
        <v>1.1200000000000001</v>
      </c>
      <c r="O276">
        <v>3.42</v>
      </c>
      <c r="P276">
        <v>-0.4</v>
      </c>
      <c r="Q276">
        <v>0.63500000000000001</v>
      </c>
      <c r="R276">
        <v>-0.46800000000000003</v>
      </c>
      <c r="S276">
        <v>8.4000000000000005E-2</v>
      </c>
      <c r="T276">
        <v>1.103</v>
      </c>
      <c r="U276">
        <v>0.59699999999999998</v>
      </c>
      <c r="V276">
        <v>3.4451495999999998E-2</v>
      </c>
      <c r="W276">
        <v>-57.857947709999998</v>
      </c>
      <c r="X276">
        <v>54.057947710000001</v>
      </c>
      <c r="Y276">
        <v>5.6420522890000004</v>
      </c>
      <c r="Z276">
        <v>2.6251884790000002</v>
      </c>
      <c r="AA276">
        <v>28.35</v>
      </c>
      <c r="AB276">
        <v>0.79500000000000004</v>
      </c>
      <c r="AC276">
        <v>22</v>
      </c>
      <c r="AD276">
        <v>1154</v>
      </c>
      <c r="AE276">
        <v>0.222167855</v>
      </c>
      <c r="AF276">
        <v>5.2688965999999997E-2</v>
      </c>
      <c r="AG276" t="s">
        <v>47</v>
      </c>
      <c r="AH276">
        <v>0</v>
      </c>
      <c r="AI276">
        <v>0</v>
      </c>
      <c r="AJ276">
        <v>1</v>
      </c>
      <c r="AK276">
        <v>0</v>
      </c>
      <c r="AL276" t="s">
        <v>48</v>
      </c>
      <c r="AM276" t="s">
        <v>530</v>
      </c>
      <c r="AN276">
        <v>0.1996</v>
      </c>
      <c r="AO276">
        <v>0.92</v>
      </c>
      <c r="AP276">
        <v>31.362500000000001</v>
      </c>
      <c r="AQ276">
        <v>4.0000000000000001E-3</v>
      </c>
      <c r="AR276">
        <v>1662</v>
      </c>
      <c r="AS276">
        <v>1000</v>
      </c>
    </row>
    <row r="277" spans="1:45" x14ac:dyDescent="0.2">
      <c r="A277" t="s">
        <v>578</v>
      </c>
      <c r="B277" t="s">
        <v>513</v>
      </c>
      <c r="C277" t="s">
        <v>514</v>
      </c>
      <c r="D277" t="s">
        <v>579</v>
      </c>
      <c r="E277">
        <v>-32.8483333</v>
      </c>
      <c r="F277">
        <v>151.72055560000001</v>
      </c>
      <c r="G277" t="s">
        <v>580</v>
      </c>
      <c r="H277" s="1">
        <v>42431</v>
      </c>
      <c r="I277">
        <v>14.02191781</v>
      </c>
      <c r="J277">
        <v>1.8304676310000001</v>
      </c>
      <c r="K277">
        <v>1.34287639</v>
      </c>
      <c r="L277">
        <v>0.81439228500000005</v>
      </c>
      <c r="M277">
        <f t="shared" si="4"/>
        <v>0.48759124100000006</v>
      </c>
      <c r="N277">
        <v>1.1200000000000001</v>
      </c>
      <c r="O277">
        <v>3.84</v>
      </c>
      <c r="P277">
        <v>-0.39</v>
      </c>
      <c r="Q277">
        <v>0.54700000000000004</v>
      </c>
      <c r="R277">
        <v>-0.45200000000000001</v>
      </c>
      <c r="S277">
        <v>4.8000000000000001E-2</v>
      </c>
      <c r="T277">
        <v>0.999</v>
      </c>
      <c r="U277">
        <v>0.93100000000000005</v>
      </c>
      <c r="V277">
        <v>-0.38438438400000002</v>
      </c>
      <c r="W277">
        <v>-53.202972789999997</v>
      </c>
      <c r="X277">
        <v>91.602972789999995</v>
      </c>
      <c r="Y277">
        <v>1.4970272090000001</v>
      </c>
      <c r="Z277">
        <v>2.49712361</v>
      </c>
      <c r="AA277">
        <v>34.340000000000003</v>
      </c>
      <c r="AB277">
        <v>0.23</v>
      </c>
      <c r="AC277">
        <v>23.2</v>
      </c>
      <c r="AD277">
        <v>1118</v>
      </c>
      <c r="AE277">
        <v>12.164535920000001</v>
      </c>
      <c r="AF277">
        <v>5.25317101</v>
      </c>
      <c r="AG277" t="s">
        <v>569</v>
      </c>
      <c r="AH277">
        <v>0</v>
      </c>
      <c r="AI277">
        <v>1</v>
      </c>
      <c r="AJ277">
        <v>0</v>
      </c>
      <c r="AK277">
        <v>0</v>
      </c>
      <c r="AL277" t="s">
        <v>54</v>
      </c>
      <c r="AM277" t="s">
        <v>49</v>
      </c>
      <c r="AN277">
        <v>-0.20480000000000001</v>
      </c>
      <c r="AO277">
        <v>0.97</v>
      </c>
      <c r="AP277">
        <v>582.66250000000002</v>
      </c>
      <c r="AQ277">
        <v>5.7000000000000002E-2</v>
      </c>
      <c r="AR277">
        <v>1000</v>
      </c>
      <c r="AS277">
        <v>2845.0317380000001</v>
      </c>
    </row>
    <row r="278" spans="1:45" x14ac:dyDescent="0.2">
      <c r="A278" t="s">
        <v>581</v>
      </c>
      <c r="B278" t="s">
        <v>513</v>
      </c>
      <c r="C278" t="s">
        <v>514</v>
      </c>
      <c r="D278" t="s">
        <v>579</v>
      </c>
      <c r="E278">
        <v>-32.848055559999999</v>
      </c>
      <c r="F278">
        <v>151.72083330000001</v>
      </c>
      <c r="G278" t="s">
        <v>580</v>
      </c>
      <c r="H278" s="1">
        <v>42431</v>
      </c>
      <c r="I278">
        <v>14.02191781</v>
      </c>
      <c r="J278">
        <v>1.996873779</v>
      </c>
      <c r="K278">
        <v>1.22743092</v>
      </c>
      <c r="L278">
        <v>0.79850689699999999</v>
      </c>
      <c r="M278">
        <f t="shared" si="4"/>
        <v>0.76944285899999998</v>
      </c>
      <c r="N278">
        <v>1.1200000000000001</v>
      </c>
      <c r="O278">
        <v>3.84</v>
      </c>
      <c r="P278">
        <v>-0.39</v>
      </c>
      <c r="Q278">
        <v>0.54700000000000004</v>
      </c>
      <c r="R278">
        <v>-0.45200000000000001</v>
      </c>
      <c r="S278">
        <v>4.8000000000000001E-2</v>
      </c>
      <c r="T278">
        <v>0.999</v>
      </c>
      <c r="U278">
        <v>0.79525000000000001</v>
      </c>
      <c r="V278">
        <v>-0.24849849800000001</v>
      </c>
      <c r="W278">
        <v>-53.202972789999997</v>
      </c>
      <c r="X278">
        <v>78.027972790000007</v>
      </c>
      <c r="Y278">
        <v>1.4970272090000001</v>
      </c>
      <c r="Z278">
        <v>2.6125690800000001</v>
      </c>
      <c r="AA278">
        <v>34.340000000000003</v>
      </c>
      <c r="AB278">
        <v>0.23</v>
      </c>
      <c r="AC278">
        <v>23.2</v>
      </c>
      <c r="AD278">
        <v>1118</v>
      </c>
      <c r="AE278">
        <v>12.164535920000001</v>
      </c>
      <c r="AF278">
        <v>5.25317101</v>
      </c>
      <c r="AG278" t="s">
        <v>569</v>
      </c>
      <c r="AH278">
        <v>0</v>
      </c>
      <c r="AI278">
        <v>1</v>
      </c>
      <c r="AJ278">
        <v>0</v>
      </c>
      <c r="AK278">
        <v>0</v>
      </c>
      <c r="AL278" t="s">
        <v>54</v>
      </c>
      <c r="AM278" t="s">
        <v>49</v>
      </c>
      <c r="AN278">
        <v>-0.36349999999999999</v>
      </c>
      <c r="AO278">
        <v>0.9</v>
      </c>
      <c r="AP278">
        <v>517.1875</v>
      </c>
      <c r="AQ278">
        <v>5.7000000000000002E-2</v>
      </c>
      <c r="AR278">
        <v>1000</v>
      </c>
      <c r="AS278">
        <v>1422.7991750000001</v>
      </c>
    </row>
    <row r="279" spans="1:45" x14ac:dyDescent="0.2">
      <c r="A279" t="s">
        <v>582</v>
      </c>
      <c r="B279" t="s">
        <v>513</v>
      </c>
      <c r="C279" t="s">
        <v>514</v>
      </c>
      <c r="D279" t="s">
        <v>579</v>
      </c>
      <c r="E279">
        <v>-32.847777000000001</v>
      </c>
      <c r="F279">
        <v>151.72138889999999</v>
      </c>
      <c r="G279" t="s">
        <v>580</v>
      </c>
      <c r="H279" s="1">
        <v>42431</v>
      </c>
      <c r="I279">
        <v>14.02191781</v>
      </c>
      <c r="J279">
        <v>1.4976553340000001</v>
      </c>
      <c r="K279">
        <v>1.461556061</v>
      </c>
      <c r="L279">
        <v>0.79118643099999997</v>
      </c>
      <c r="M279">
        <f t="shared" si="4"/>
        <v>3.6099273000000043E-2</v>
      </c>
      <c r="N279">
        <v>1.1200000000000001</v>
      </c>
      <c r="O279">
        <v>3.84</v>
      </c>
      <c r="P279">
        <v>-0.39</v>
      </c>
      <c r="Q279">
        <v>0.54700000000000004</v>
      </c>
      <c r="R279">
        <v>-0.45200000000000001</v>
      </c>
      <c r="S279">
        <v>4.8000000000000001E-2</v>
      </c>
      <c r="T279">
        <v>0.999</v>
      </c>
      <c r="U279">
        <v>0.75124999999999997</v>
      </c>
      <c r="V279">
        <v>-0.20445445400000001</v>
      </c>
      <c r="W279">
        <v>-53.202972789999997</v>
      </c>
      <c r="X279">
        <v>73.627972790000001</v>
      </c>
      <c r="Y279">
        <v>1.4970272090000001</v>
      </c>
      <c r="Z279">
        <v>2.3784439389999998</v>
      </c>
      <c r="AA279">
        <v>34.340000000000003</v>
      </c>
      <c r="AB279">
        <v>0.23</v>
      </c>
      <c r="AC279">
        <v>23.2</v>
      </c>
      <c r="AD279">
        <v>1118</v>
      </c>
      <c r="AE279">
        <v>12.164535920000001</v>
      </c>
      <c r="AF279">
        <v>5.25317101</v>
      </c>
      <c r="AG279" t="s">
        <v>569</v>
      </c>
      <c r="AH279">
        <v>0</v>
      </c>
      <c r="AI279">
        <v>1</v>
      </c>
      <c r="AJ279">
        <v>0</v>
      </c>
      <c r="AK279">
        <v>0</v>
      </c>
      <c r="AL279" t="s">
        <v>54</v>
      </c>
      <c r="AM279" t="s">
        <v>49</v>
      </c>
      <c r="AN279">
        <v>-0.32850000000000001</v>
      </c>
      <c r="AO279">
        <v>0.92</v>
      </c>
      <c r="AP279">
        <v>552.49749999999995</v>
      </c>
      <c r="AQ279">
        <v>5.7000000000000002E-2</v>
      </c>
      <c r="AR279">
        <v>1000</v>
      </c>
      <c r="AS279">
        <v>1681.879756</v>
      </c>
    </row>
    <row r="280" spans="1:45" x14ac:dyDescent="0.2">
      <c r="A280" t="s">
        <v>583</v>
      </c>
      <c r="B280" t="s">
        <v>513</v>
      </c>
      <c r="C280" t="s">
        <v>514</v>
      </c>
      <c r="D280" t="s">
        <v>584</v>
      </c>
      <c r="E280">
        <v>-27.289549999999998</v>
      </c>
      <c r="F280">
        <v>153.04396</v>
      </c>
      <c r="G280" t="s">
        <v>586</v>
      </c>
      <c r="H280" s="1">
        <v>43414</v>
      </c>
      <c r="I280">
        <v>11.58082192</v>
      </c>
      <c r="J280">
        <v>1.3812399360000001</v>
      </c>
      <c r="K280">
        <v>2.781196E-2</v>
      </c>
      <c r="L280">
        <v>0.115477366</v>
      </c>
      <c r="M280">
        <f t="shared" si="4"/>
        <v>1.3534279760000001</v>
      </c>
      <c r="N280">
        <v>3.17</v>
      </c>
      <c r="O280">
        <v>3.85</v>
      </c>
      <c r="P280">
        <v>-0.28000000000000003</v>
      </c>
      <c r="Q280">
        <v>0.73199999999999998</v>
      </c>
      <c r="R280">
        <v>-0.67800000000000005</v>
      </c>
      <c r="S280">
        <v>0</v>
      </c>
      <c r="T280">
        <v>1.41</v>
      </c>
      <c r="U280">
        <v>1.57</v>
      </c>
      <c r="V280">
        <v>-0.59432624099999998</v>
      </c>
      <c r="W280">
        <v>-69.399984559999993</v>
      </c>
      <c r="X280">
        <v>153.19998459999999</v>
      </c>
      <c r="Y280">
        <v>3.8000154369999999</v>
      </c>
      <c r="Z280">
        <v>3.8221880399999999</v>
      </c>
      <c r="AA280">
        <v>2.89</v>
      </c>
      <c r="AB280">
        <v>1.24</v>
      </c>
      <c r="AC280">
        <v>25.4</v>
      </c>
      <c r="AD280">
        <v>1016</v>
      </c>
      <c r="AE280">
        <v>6.775405943</v>
      </c>
      <c r="AF280">
        <v>3.2512640730000002</v>
      </c>
      <c r="AG280" t="s">
        <v>585</v>
      </c>
      <c r="AH280">
        <v>0</v>
      </c>
      <c r="AI280">
        <v>1</v>
      </c>
      <c r="AJ280">
        <v>0</v>
      </c>
      <c r="AK280">
        <v>0</v>
      </c>
      <c r="AL280" t="s">
        <v>54</v>
      </c>
      <c r="AM280" t="s">
        <v>49</v>
      </c>
      <c r="AN280">
        <v>1E-3</v>
      </c>
      <c r="AO280">
        <v>1E-3</v>
      </c>
      <c r="AP280">
        <v>262.96499999999997</v>
      </c>
      <c r="AQ280">
        <v>8.5000000000000006E-2</v>
      </c>
      <c r="AR280">
        <v>488</v>
      </c>
      <c r="AS280">
        <v>1000</v>
      </c>
    </row>
    <row r="281" spans="1:45" x14ac:dyDescent="0.2">
      <c r="A281" t="s">
        <v>587</v>
      </c>
      <c r="B281" t="s">
        <v>513</v>
      </c>
      <c r="C281" t="s">
        <v>514</v>
      </c>
      <c r="D281" t="s">
        <v>584</v>
      </c>
      <c r="E281">
        <v>-27.28913</v>
      </c>
      <c r="F281">
        <v>153.04437999999999</v>
      </c>
      <c r="G281" t="s">
        <v>586</v>
      </c>
      <c r="H281" s="1">
        <v>43414</v>
      </c>
      <c r="I281">
        <v>11.58082192</v>
      </c>
      <c r="J281">
        <v>1.3812399360000001</v>
      </c>
      <c r="K281">
        <v>6.3109618000000006E-2</v>
      </c>
      <c r="L281">
        <v>0.44862961400000001</v>
      </c>
      <c r="M281">
        <f t="shared" si="4"/>
        <v>1.3181303180000001</v>
      </c>
      <c r="N281">
        <v>3.17</v>
      </c>
      <c r="O281">
        <v>3.85</v>
      </c>
      <c r="P281">
        <v>-0.28000000000000003</v>
      </c>
      <c r="Q281">
        <v>0.73199999999999998</v>
      </c>
      <c r="R281">
        <v>-0.67800000000000005</v>
      </c>
      <c r="S281">
        <v>0</v>
      </c>
      <c r="T281">
        <v>1.41</v>
      </c>
      <c r="U281">
        <v>1.3</v>
      </c>
      <c r="V281">
        <v>-0.40283687899999998</v>
      </c>
      <c r="W281">
        <v>-69.399984559999993</v>
      </c>
      <c r="X281">
        <v>126.19998459999999</v>
      </c>
      <c r="Y281">
        <v>3.8000154369999999</v>
      </c>
      <c r="Z281">
        <v>3.7868903820000002</v>
      </c>
      <c r="AA281">
        <v>2.89</v>
      </c>
      <c r="AB281">
        <v>1.24</v>
      </c>
      <c r="AC281">
        <v>25.4</v>
      </c>
      <c r="AD281">
        <v>1016</v>
      </c>
      <c r="AE281">
        <v>6.775405943</v>
      </c>
      <c r="AF281">
        <v>3.2512640730000002</v>
      </c>
      <c r="AG281" t="s">
        <v>585</v>
      </c>
      <c r="AH281">
        <v>0</v>
      </c>
      <c r="AI281">
        <v>1</v>
      </c>
      <c r="AJ281">
        <v>0</v>
      </c>
      <c r="AK281">
        <v>0</v>
      </c>
      <c r="AL281" t="s">
        <v>54</v>
      </c>
      <c r="AM281" t="s">
        <v>49</v>
      </c>
      <c r="AN281">
        <v>-7.51E-2</v>
      </c>
      <c r="AO281">
        <v>0.11749999999999999</v>
      </c>
      <c r="AP281">
        <v>229.03749999999999</v>
      </c>
      <c r="AQ281">
        <v>8.5000000000000006E-2</v>
      </c>
      <c r="AR281">
        <v>406</v>
      </c>
      <c r="AS281">
        <v>3049.7669770000002</v>
      </c>
    </row>
    <row r="282" spans="1:45" x14ac:dyDescent="0.2">
      <c r="A282" t="s">
        <v>588</v>
      </c>
      <c r="B282" t="s">
        <v>513</v>
      </c>
      <c r="C282" t="s">
        <v>514</v>
      </c>
      <c r="D282" t="s">
        <v>584</v>
      </c>
      <c r="E282">
        <v>-27.28858</v>
      </c>
      <c r="F282">
        <v>153.04543000000001</v>
      </c>
      <c r="G282" t="s">
        <v>586</v>
      </c>
      <c r="H282" s="1">
        <v>43414</v>
      </c>
      <c r="I282">
        <v>11.58082192</v>
      </c>
      <c r="J282">
        <v>1.3812399360000001</v>
      </c>
      <c r="K282">
        <v>-1.1073301000000001E-2</v>
      </c>
      <c r="L282">
        <v>2.3825453999999999E-2</v>
      </c>
      <c r="M282">
        <f t="shared" si="4"/>
        <v>1.392313237</v>
      </c>
      <c r="N282">
        <v>3.17</v>
      </c>
      <c r="O282">
        <v>3.85</v>
      </c>
      <c r="P282">
        <v>-0.28000000000000003</v>
      </c>
      <c r="Q282">
        <v>0.73199999999999998</v>
      </c>
      <c r="R282">
        <v>-0.67800000000000005</v>
      </c>
      <c r="S282">
        <v>0</v>
      </c>
      <c r="T282">
        <v>1.41</v>
      </c>
      <c r="U282">
        <v>1.3</v>
      </c>
      <c r="V282">
        <v>-0.40283687899999998</v>
      </c>
      <c r="W282">
        <v>-69.399984559999993</v>
      </c>
      <c r="X282">
        <v>126.19998459999999</v>
      </c>
      <c r="Y282">
        <v>3.8000154369999999</v>
      </c>
      <c r="Z282">
        <v>3.8610733009999998</v>
      </c>
      <c r="AA282">
        <v>2.89</v>
      </c>
      <c r="AB282">
        <v>1.24</v>
      </c>
      <c r="AC282">
        <v>25.4</v>
      </c>
      <c r="AD282">
        <v>1016</v>
      </c>
      <c r="AE282">
        <v>6.775405943</v>
      </c>
      <c r="AF282">
        <v>3.2512640730000002</v>
      </c>
      <c r="AG282" t="s">
        <v>585</v>
      </c>
      <c r="AH282">
        <v>0</v>
      </c>
      <c r="AI282">
        <v>1</v>
      </c>
      <c r="AJ282">
        <v>0</v>
      </c>
      <c r="AK282">
        <v>0</v>
      </c>
      <c r="AL282" t="s">
        <v>54</v>
      </c>
      <c r="AM282" t="s">
        <v>49</v>
      </c>
      <c r="AN282">
        <v>-1.23E-2</v>
      </c>
      <c r="AO282">
        <v>4.7E-2</v>
      </c>
      <c r="AP282">
        <v>141.565</v>
      </c>
      <c r="AQ282">
        <v>8.5000000000000006E-2</v>
      </c>
      <c r="AR282">
        <v>397</v>
      </c>
      <c r="AS282">
        <v>11509.34959</v>
      </c>
    </row>
    <row r="283" spans="1:45" x14ac:dyDescent="0.2">
      <c r="A283" t="s">
        <v>589</v>
      </c>
      <c r="B283" t="s">
        <v>513</v>
      </c>
      <c r="C283" t="s">
        <v>514</v>
      </c>
      <c r="D283" t="s">
        <v>590</v>
      </c>
      <c r="E283" t="s">
        <v>68</v>
      </c>
      <c r="F283" t="s">
        <v>68</v>
      </c>
      <c r="G283" t="s">
        <v>591</v>
      </c>
      <c r="H283" t="s">
        <v>592</v>
      </c>
      <c r="I283">
        <v>11.59178082</v>
      </c>
      <c r="J283">
        <v>2.035124798</v>
      </c>
      <c r="K283">
        <v>0.23309049900000001</v>
      </c>
      <c r="L283">
        <v>0.79922678899999999</v>
      </c>
      <c r="M283">
        <f t="shared" si="4"/>
        <v>1.802034299</v>
      </c>
      <c r="N283">
        <v>3.17</v>
      </c>
      <c r="O283">
        <v>3.85</v>
      </c>
      <c r="P283">
        <v>-0.43</v>
      </c>
      <c r="Q283">
        <v>0.73199999999999998</v>
      </c>
      <c r="R283">
        <v>-0.67800000000000005</v>
      </c>
      <c r="S283">
        <v>0</v>
      </c>
      <c r="T283">
        <v>1.41</v>
      </c>
      <c r="U283">
        <v>1.2270000000000001</v>
      </c>
      <c r="V283">
        <v>-0.35106383000000002</v>
      </c>
      <c r="W283">
        <v>-69.399984559999993</v>
      </c>
      <c r="X283">
        <v>118.8999846</v>
      </c>
      <c r="Y283">
        <v>3.8000154369999999</v>
      </c>
      <c r="Z283">
        <v>3.6169095009999999</v>
      </c>
      <c r="AA283">
        <v>6.97</v>
      </c>
      <c r="AB283">
        <v>0.86</v>
      </c>
      <c r="AC283">
        <v>25.4</v>
      </c>
      <c r="AD283">
        <v>1016</v>
      </c>
      <c r="AE283">
        <v>7.7701328600000004</v>
      </c>
      <c r="AF283">
        <v>3.930309753</v>
      </c>
      <c r="AG283" t="s">
        <v>585</v>
      </c>
      <c r="AH283">
        <v>0</v>
      </c>
      <c r="AI283">
        <v>1</v>
      </c>
      <c r="AJ283">
        <v>0</v>
      </c>
      <c r="AK283">
        <v>0</v>
      </c>
      <c r="AL283" t="s">
        <v>54</v>
      </c>
      <c r="AM283" t="s">
        <v>49</v>
      </c>
      <c r="AN283" t="s">
        <v>68</v>
      </c>
      <c r="AO283" t="s">
        <v>68</v>
      </c>
      <c r="AP283" t="s">
        <v>68</v>
      </c>
      <c r="AQ283">
        <v>5.6000000000000001E-2</v>
      </c>
      <c r="AR283">
        <v>405</v>
      </c>
      <c r="AS283" t="s">
        <v>68</v>
      </c>
    </row>
    <row r="284" spans="1:45" x14ac:dyDescent="0.2">
      <c r="A284" t="s">
        <v>593</v>
      </c>
      <c r="B284" t="s">
        <v>513</v>
      </c>
      <c r="C284" t="s">
        <v>514</v>
      </c>
      <c r="D284" t="s">
        <v>590</v>
      </c>
      <c r="E284">
        <v>-27.350650000000002</v>
      </c>
      <c r="F284">
        <v>153.08581000000001</v>
      </c>
      <c r="G284" t="s">
        <v>591</v>
      </c>
      <c r="H284" t="s">
        <v>592</v>
      </c>
      <c r="I284">
        <v>11.59178082</v>
      </c>
      <c r="J284">
        <v>2.035124798</v>
      </c>
      <c r="K284">
        <v>-3.468652E-3</v>
      </c>
      <c r="L284">
        <v>3.6379889999999999E-3</v>
      </c>
      <c r="M284">
        <f t="shared" si="4"/>
        <v>2.03859345</v>
      </c>
      <c r="N284">
        <v>3.17</v>
      </c>
      <c r="O284">
        <v>3.85</v>
      </c>
      <c r="P284">
        <v>-0.43</v>
      </c>
      <c r="Q284">
        <v>0.73199999999999998</v>
      </c>
      <c r="R284">
        <v>-0.67800000000000005</v>
      </c>
      <c r="S284">
        <v>0</v>
      </c>
      <c r="T284">
        <v>1.41</v>
      </c>
      <c r="U284">
        <v>1.2270000000000001</v>
      </c>
      <c r="V284">
        <v>-0.35106383000000002</v>
      </c>
      <c r="W284">
        <v>-69.399984559999993</v>
      </c>
      <c r="X284">
        <v>118.8999846</v>
      </c>
      <c r="Y284">
        <v>3.8000154369999999</v>
      </c>
      <c r="Z284">
        <v>3.8534686520000001</v>
      </c>
      <c r="AA284">
        <v>6.97</v>
      </c>
      <c r="AB284">
        <v>0.86</v>
      </c>
      <c r="AC284">
        <v>25.4</v>
      </c>
      <c r="AD284">
        <v>1016</v>
      </c>
      <c r="AE284">
        <v>7.7701328600000004</v>
      </c>
      <c r="AF284">
        <v>3.930309753</v>
      </c>
      <c r="AG284" t="s">
        <v>585</v>
      </c>
      <c r="AH284">
        <v>0</v>
      </c>
      <c r="AI284">
        <v>1</v>
      </c>
      <c r="AJ284">
        <v>0</v>
      </c>
      <c r="AK284">
        <v>0</v>
      </c>
      <c r="AL284" t="s">
        <v>54</v>
      </c>
      <c r="AM284" t="s">
        <v>49</v>
      </c>
      <c r="AN284">
        <v>9.5299999999999996E-2</v>
      </c>
      <c r="AO284">
        <v>0.18</v>
      </c>
      <c r="AP284">
        <v>149.02500000000001</v>
      </c>
      <c r="AQ284">
        <v>5.6000000000000001E-2</v>
      </c>
      <c r="AR284">
        <v>375</v>
      </c>
      <c r="AS284">
        <v>1000</v>
      </c>
    </row>
    <row r="285" spans="1:45" x14ac:dyDescent="0.2">
      <c r="A285" t="s">
        <v>594</v>
      </c>
      <c r="B285" t="s">
        <v>513</v>
      </c>
      <c r="C285" t="s">
        <v>514</v>
      </c>
      <c r="D285" t="s">
        <v>590</v>
      </c>
      <c r="E285">
        <v>-27.351690000000001</v>
      </c>
      <c r="F285">
        <v>153.08588</v>
      </c>
      <c r="G285" t="s">
        <v>591</v>
      </c>
      <c r="H285" t="s">
        <v>592</v>
      </c>
      <c r="I285">
        <v>11.59178082</v>
      </c>
      <c r="J285">
        <v>2.035124798</v>
      </c>
      <c r="K285">
        <v>-4.4038519999999998E-3</v>
      </c>
      <c r="L285">
        <v>1.0708621999999999E-2</v>
      </c>
      <c r="M285">
        <f t="shared" si="4"/>
        <v>2.0395286499999998</v>
      </c>
      <c r="N285">
        <v>3.17</v>
      </c>
      <c r="O285">
        <v>3.85</v>
      </c>
      <c r="P285">
        <v>-0.43</v>
      </c>
      <c r="Q285">
        <v>0.73199999999999998</v>
      </c>
      <c r="R285">
        <v>-0.67800000000000005</v>
      </c>
      <c r="S285">
        <v>0</v>
      </c>
      <c r="T285">
        <v>1.41</v>
      </c>
      <c r="U285">
        <v>1.0269999999999999</v>
      </c>
      <c r="V285">
        <v>-0.20921985800000001</v>
      </c>
      <c r="W285">
        <v>-69.399984559999993</v>
      </c>
      <c r="X285">
        <v>98.899984559999993</v>
      </c>
      <c r="Y285">
        <v>3.8000154369999999</v>
      </c>
      <c r="Z285">
        <v>3.8544038519999999</v>
      </c>
      <c r="AA285">
        <v>6.97</v>
      </c>
      <c r="AB285">
        <v>0.86</v>
      </c>
      <c r="AC285">
        <v>25.4</v>
      </c>
      <c r="AD285">
        <v>1016</v>
      </c>
      <c r="AE285">
        <v>7.7701328600000004</v>
      </c>
      <c r="AF285">
        <v>3.930309753</v>
      </c>
      <c r="AG285" t="s">
        <v>585</v>
      </c>
      <c r="AH285">
        <v>0</v>
      </c>
      <c r="AI285">
        <v>1</v>
      </c>
      <c r="AJ285">
        <v>0</v>
      </c>
      <c r="AK285">
        <v>0</v>
      </c>
      <c r="AL285" t="s">
        <v>54</v>
      </c>
      <c r="AM285" t="s">
        <v>49</v>
      </c>
      <c r="AN285">
        <v>7.8799999999999995E-2</v>
      </c>
      <c r="AO285">
        <v>0.27</v>
      </c>
      <c r="AP285">
        <v>210.33500000000001</v>
      </c>
      <c r="AQ285">
        <v>5.6000000000000001E-2</v>
      </c>
      <c r="AR285">
        <v>312</v>
      </c>
      <c r="AS285">
        <v>1000</v>
      </c>
    </row>
    <row r="286" spans="1:45" x14ac:dyDescent="0.2">
      <c r="A286" t="s">
        <v>595</v>
      </c>
      <c r="B286" t="s">
        <v>513</v>
      </c>
      <c r="C286" t="s">
        <v>514</v>
      </c>
      <c r="D286" t="s">
        <v>596</v>
      </c>
      <c r="E286">
        <v>-27.569240000000001</v>
      </c>
      <c r="F286">
        <v>153.29114999999999</v>
      </c>
      <c r="G286" t="s">
        <v>597</v>
      </c>
      <c r="H286" s="1">
        <v>43353</v>
      </c>
      <c r="I286">
        <v>11.55890411</v>
      </c>
      <c r="J286">
        <v>1.1150871090000001</v>
      </c>
      <c r="K286">
        <v>1.81375E-4</v>
      </c>
      <c r="L286" s="2">
        <v>2.02E-5</v>
      </c>
      <c r="M286">
        <f t="shared" si="4"/>
        <v>1.1149057340000001</v>
      </c>
      <c r="N286">
        <v>3.17</v>
      </c>
      <c r="O286">
        <v>3.85</v>
      </c>
      <c r="P286">
        <v>-0.4</v>
      </c>
      <c r="Q286">
        <v>0.73199999999999998</v>
      </c>
      <c r="R286">
        <v>-0.67800000000000005</v>
      </c>
      <c r="S286">
        <v>0</v>
      </c>
      <c r="T286">
        <v>1.41</v>
      </c>
      <c r="U286">
        <v>1.0269999999999999</v>
      </c>
      <c r="V286">
        <v>-0.20921985800000001</v>
      </c>
      <c r="W286">
        <v>-69.399984559999993</v>
      </c>
      <c r="X286">
        <v>98.899984559999993</v>
      </c>
      <c r="Y286">
        <v>3.8000154369999999</v>
      </c>
      <c r="Z286">
        <v>3.8498186250000002</v>
      </c>
      <c r="AA286">
        <v>2.38</v>
      </c>
      <c r="AB286">
        <v>1.27</v>
      </c>
      <c r="AC286">
        <v>25.4</v>
      </c>
      <c r="AD286">
        <v>1016</v>
      </c>
      <c r="AE286">
        <v>6.8728401059999999</v>
      </c>
      <c r="AF286">
        <v>3.886070981</v>
      </c>
      <c r="AG286" t="s">
        <v>585</v>
      </c>
      <c r="AH286">
        <v>0</v>
      </c>
      <c r="AI286">
        <v>1</v>
      </c>
      <c r="AJ286">
        <v>0</v>
      </c>
      <c r="AK286">
        <v>0</v>
      </c>
      <c r="AL286" t="s">
        <v>54</v>
      </c>
      <c r="AM286" t="s">
        <v>49</v>
      </c>
      <c r="AN286">
        <v>-0.6915</v>
      </c>
      <c r="AO286">
        <v>0.84</v>
      </c>
      <c r="AP286">
        <v>156.47999999999999</v>
      </c>
      <c r="AQ286">
        <v>6.0000000000000001E-3</v>
      </c>
      <c r="AR286">
        <v>312</v>
      </c>
      <c r="AS286">
        <v>226.2906725</v>
      </c>
    </row>
    <row r="287" spans="1:45" x14ac:dyDescent="0.2">
      <c r="A287" t="s">
        <v>598</v>
      </c>
      <c r="B287" t="s">
        <v>513</v>
      </c>
      <c r="C287" t="s">
        <v>514</v>
      </c>
      <c r="D287" t="s">
        <v>596</v>
      </c>
      <c r="E287">
        <v>-27.569600000000001</v>
      </c>
      <c r="F287">
        <v>153.29068000000001</v>
      </c>
      <c r="G287" t="s">
        <v>597</v>
      </c>
      <c r="H287" s="1">
        <v>43353</v>
      </c>
      <c r="I287">
        <v>11.55890411</v>
      </c>
      <c r="J287">
        <v>1.1150871090000001</v>
      </c>
      <c r="K287">
        <v>-3.1854001999999999E-2</v>
      </c>
      <c r="L287">
        <v>0.40738537800000002</v>
      </c>
      <c r="M287">
        <f t="shared" si="4"/>
        <v>1.1469411110000001</v>
      </c>
      <c r="N287">
        <v>3.17</v>
      </c>
      <c r="O287">
        <v>3.85</v>
      </c>
      <c r="P287">
        <v>-0.4</v>
      </c>
      <c r="Q287">
        <v>0.73199999999999998</v>
      </c>
      <c r="R287">
        <v>-0.67800000000000005</v>
      </c>
      <c r="S287">
        <v>0</v>
      </c>
      <c r="T287">
        <v>1.41</v>
      </c>
      <c r="U287">
        <v>1.0269999999999999</v>
      </c>
      <c r="V287">
        <v>-0.20921985800000001</v>
      </c>
      <c r="W287">
        <v>-69.399984559999993</v>
      </c>
      <c r="X287">
        <v>98.899984559999993</v>
      </c>
      <c r="Y287">
        <v>3.8000154369999999</v>
      </c>
      <c r="Z287">
        <v>3.8818540019999999</v>
      </c>
      <c r="AA287">
        <v>2.38</v>
      </c>
      <c r="AB287">
        <v>1.27</v>
      </c>
      <c r="AC287">
        <v>25.4</v>
      </c>
      <c r="AD287">
        <v>1016</v>
      </c>
      <c r="AE287">
        <v>6.8728401059999999</v>
      </c>
      <c r="AF287">
        <v>3.886070981</v>
      </c>
      <c r="AG287" t="s">
        <v>585</v>
      </c>
      <c r="AH287">
        <v>0</v>
      </c>
      <c r="AI287">
        <v>1</v>
      </c>
      <c r="AJ287">
        <v>0</v>
      </c>
      <c r="AK287">
        <v>0</v>
      </c>
      <c r="AL287" t="s">
        <v>54</v>
      </c>
      <c r="AM287" t="s">
        <v>49</v>
      </c>
      <c r="AN287">
        <v>-0.78539999999999999</v>
      </c>
      <c r="AO287">
        <v>0.52</v>
      </c>
      <c r="AP287">
        <v>99.517499999999998</v>
      </c>
      <c r="AQ287">
        <v>6.0000000000000001E-3</v>
      </c>
      <c r="AR287">
        <v>309</v>
      </c>
      <c r="AS287">
        <v>126.7093201</v>
      </c>
    </row>
    <row r="288" spans="1:45" x14ac:dyDescent="0.2">
      <c r="A288" t="s">
        <v>599</v>
      </c>
      <c r="B288" t="s">
        <v>513</v>
      </c>
      <c r="C288" t="s">
        <v>514</v>
      </c>
      <c r="D288" t="s">
        <v>596</v>
      </c>
      <c r="E288">
        <v>-27.569900000000001</v>
      </c>
      <c r="F288">
        <v>153.29056</v>
      </c>
      <c r="G288" t="s">
        <v>597</v>
      </c>
      <c r="H288" s="1">
        <v>43353</v>
      </c>
      <c r="I288">
        <v>11.55890411</v>
      </c>
      <c r="J288">
        <v>1.1150871090000001</v>
      </c>
      <c r="K288">
        <v>-4.2959562999999999E-2</v>
      </c>
      <c r="L288">
        <v>0.61034535899999998</v>
      </c>
      <c r="M288">
        <f t="shared" si="4"/>
        <v>1.158046672</v>
      </c>
      <c r="N288">
        <v>3.17</v>
      </c>
      <c r="O288">
        <v>3.85</v>
      </c>
      <c r="P288">
        <v>-0.4</v>
      </c>
      <c r="Q288">
        <v>0.73199999999999998</v>
      </c>
      <c r="R288">
        <v>-0.67800000000000005</v>
      </c>
      <c r="S288">
        <v>0</v>
      </c>
      <c r="T288">
        <v>1.41</v>
      </c>
      <c r="U288">
        <v>1.0369999999999999</v>
      </c>
      <c r="V288">
        <v>-0.216312057</v>
      </c>
      <c r="W288">
        <v>-69.399984559999993</v>
      </c>
      <c r="X288">
        <v>99.899984559999993</v>
      </c>
      <c r="Y288">
        <v>3.8000154369999999</v>
      </c>
      <c r="Z288">
        <v>3.8929595629999998</v>
      </c>
      <c r="AA288">
        <v>2.38</v>
      </c>
      <c r="AB288">
        <v>1.27</v>
      </c>
      <c r="AC288">
        <v>25.4</v>
      </c>
      <c r="AD288">
        <v>1016</v>
      </c>
      <c r="AE288">
        <v>6.8728401059999999</v>
      </c>
      <c r="AF288">
        <v>3.886070981</v>
      </c>
      <c r="AG288" t="s">
        <v>585</v>
      </c>
      <c r="AH288">
        <v>0</v>
      </c>
      <c r="AI288">
        <v>1</v>
      </c>
      <c r="AJ288">
        <v>0</v>
      </c>
      <c r="AK288">
        <v>0</v>
      </c>
      <c r="AL288" t="s">
        <v>54</v>
      </c>
      <c r="AM288" t="s">
        <v>49</v>
      </c>
      <c r="AN288">
        <v>-0.45939999999999998</v>
      </c>
      <c r="AO288">
        <v>0.91</v>
      </c>
      <c r="AP288">
        <v>69.067499999999995</v>
      </c>
      <c r="AQ288">
        <v>6.0000000000000001E-3</v>
      </c>
      <c r="AR288">
        <v>311</v>
      </c>
      <c r="AS288">
        <v>150.3428385</v>
      </c>
    </row>
    <row r="289" spans="1:45" x14ac:dyDescent="0.2">
      <c r="A289" t="s">
        <v>600</v>
      </c>
      <c r="B289" t="s">
        <v>513</v>
      </c>
      <c r="C289" t="s">
        <v>514</v>
      </c>
      <c r="D289" t="s">
        <v>601</v>
      </c>
      <c r="E289">
        <v>-27.437660000000001</v>
      </c>
      <c r="F289">
        <v>153.43441000000001</v>
      </c>
      <c r="G289" t="s">
        <v>597</v>
      </c>
      <c r="H289" t="s">
        <v>602</v>
      </c>
      <c r="I289">
        <v>11.654794519999999</v>
      </c>
      <c r="J289">
        <v>2.8709783010000001</v>
      </c>
      <c r="K289">
        <v>3.8056404000000002E-2</v>
      </c>
      <c r="L289">
        <v>0.60069839000000003</v>
      </c>
      <c r="M289">
        <f t="shared" si="4"/>
        <v>2.8329218969999999</v>
      </c>
      <c r="N289">
        <v>3.17</v>
      </c>
      <c r="O289">
        <v>3.85</v>
      </c>
      <c r="P289">
        <v>-0.37</v>
      </c>
      <c r="Q289">
        <v>0.73199999999999998</v>
      </c>
      <c r="R289">
        <v>-0.67800000000000005</v>
      </c>
      <c r="S289">
        <v>0</v>
      </c>
      <c r="T289">
        <v>1.41</v>
      </c>
      <c r="U289">
        <v>1.0669999999999999</v>
      </c>
      <c r="V289">
        <v>-0.23758865200000001</v>
      </c>
      <c r="W289">
        <v>-69.399984559999993</v>
      </c>
      <c r="X289">
        <v>102.8999846</v>
      </c>
      <c r="Y289">
        <v>3.8000154369999999</v>
      </c>
      <c r="Z289">
        <v>3.8119435959999999</v>
      </c>
      <c r="AA289">
        <v>20.399999999999999</v>
      </c>
      <c r="AB289">
        <v>0.56000000000000005</v>
      </c>
      <c r="AC289">
        <v>23.4</v>
      </c>
      <c r="AD289">
        <v>1479</v>
      </c>
      <c r="AE289">
        <v>4.2759352809999998</v>
      </c>
      <c r="AF289">
        <v>1.392872018</v>
      </c>
      <c r="AG289" t="s">
        <v>47</v>
      </c>
      <c r="AH289">
        <v>0</v>
      </c>
      <c r="AI289">
        <v>0</v>
      </c>
      <c r="AJ289">
        <v>1</v>
      </c>
      <c r="AK289">
        <v>0</v>
      </c>
      <c r="AL289" t="s">
        <v>48</v>
      </c>
      <c r="AM289" t="s">
        <v>335</v>
      </c>
      <c r="AN289">
        <v>-2.23E-2</v>
      </c>
      <c r="AO289">
        <v>8.3999999999999995E-3</v>
      </c>
      <c r="AP289">
        <v>179.2</v>
      </c>
      <c r="AQ289">
        <v>2E-3</v>
      </c>
      <c r="AR289">
        <v>329</v>
      </c>
      <c r="AS289">
        <v>8035.8744390000002</v>
      </c>
    </row>
    <row r="290" spans="1:45" x14ac:dyDescent="0.2">
      <c r="A290" t="s">
        <v>603</v>
      </c>
      <c r="B290" t="s">
        <v>513</v>
      </c>
      <c r="C290" t="s">
        <v>514</v>
      </c>
      <c r="D290" t="s">
        <v>601</v>
      </c>
      <c r="E290">
        <v>-27.43796</v>
      </c>
      <c r="F290">
        <v>153.4342</v>
      </c>
      <c r="G290" t="s">
        <v>597</v>
      </c>
      <c r="H290" t="s">
        <v>602</v>
      </c>
      <c r="I290">
        <v>11.654794519999999</v>
      </c>
      <c r="J290">
        <v>2.8709783010000001</v>
      </c>
      <c r="K290">
        <v>0.107160135</v>
      </c>
      <c r="L290">
        <v>0.54853398900000006</v>
      </c>
      <c r="M290">
        <f t="shared" si="4"/>
        <v>2.7638181660000001</v>
      </c>
      <c r="N290">
        <v>3.17</v>
      </c>
      <c r="O290">
        <v>3.85</v>
      </c>
      <c r="P290">
        <v>-0.37</v>
      </c>
      <c r="Q290">
        <v>0.73199999999999998</v>
      </c>
      <c r="R290">
        <v>-0.67800000000000005</v>
      </c>
      <c r="S290">
        <v>0</v>
      </c>
      <c r="T290">
        <v>1.41</v>
      </c>
      <c r="U290">
        <v>1.1719999999999999</v>
      </c>
      <c r="V290">
        <v>-0.312056738</v>
      </c>
      <c r="W290">
        <v>-69.399984559999993</v>
      </c>
      <c r="X290">
        <v>113.3999846</v>
      </c>
      <c r="Y290">
        <v>3.8000154369999999</v>
      </c>
      <c r="Z290">
        <v>3.7428398650000001</v>
      </c>
      <c r="AA290">
        <v>20.399999999999999</v>
      </c>
      <c r="AB290">
        <v>0.56000000000000005</v>
      </c>
      <c r="AC290">
        <v>23.4</v>
      </c>
      <c r="AD290">
        <v>1479</v>
      </c>
      <c r="AE290">
        <v>4.2759352809999998</v>
      </c>
      <c r="AF290">
        <v>1.392872018</v>
      </c>
      <c r="AG290" t="s">
        <v>47</v>
      </c>
      <c r="AH290">
        <v>0</v>
      </c>
      <c r="AI290">
        <v>0</v>
      </c>
      <c r="AJ290">
        <v>1</v>
      </c>
      <c r="AK290">
        <v>0</v>
      </c>
      <c r="AL290" t="s">
        <v>48</v>
      </c>
      <c r="AM290" t="s">
        <v>335</v>
      </c>
      <c r="AN290">
        <v>-0.17760000000000001</v>
      </c>
      <c r="AO290">
        <v>0.41</v>
      </c>
      <c r="AP290">
        <v>156.27500000000001</v>
      </c>
      <c r="AQ290">
        <v>2E-3</v>
      </c>
      <c r="AR290">
        <v>370</v>
      </c>
      <c r="AS290">
        <v>879.92680180000002</v>
      </c>
    </row>
    <row r="291" spans="1:45" x14ac:dyDescent="0.2">
      <c r="A291" t="s">
        <v>604</v>
      </c>
      <c r="B291" t="s">
        <v>513</v>
      </c>
      <c r="C291" t="s">
        <v>514</v>
      </c>
      <c r="D291" t="s">
        <v>601</v>
      </c>
      <c r="E291">
        <v>-27.438320000000001</v>
      </c>
      <c r="F291">
        <v>153.43398999999999</v>
      </c>
      <c r="G291" t="s">
        <v>597</v>
      </c>
      <c r="H291" t="s">
        <v>602</v>
      </c>
      <c r="I291">
        <v>11.654794519999999</v>
      </c>
      <c r="J291">
        <v>2.8709783010000001</v>
      </c>
      <c r="K291">
        <v>0.31007219600000002</v>
      </c>
      <c r="L291">
        <v>0.83073661200000004</v>
      </c>
      <c r="M291">
        <f t="shared" si="4"/>
        <v>2.5609061049999999</v>
      </c>
      <c r="N291">
        <v>3.17</v>
      </c>
      <c r="O291">
        <v>3.85</v>
      </c>
      <c r="P291">
        <v>-0.37</v>
      </c>
      <c r="Q291">
        <v>0.73199999999999998</v>
      </c>
      <c r="R291">
        <v>-0.67800000000000005</v>
      </c>
      <c r="S291">
        <v>0</v>
      </c>
      <c r="T291">
        <v>1.41</v>
      </c>
      <c r="U291">
        <v>1.327</v>
      </c>
      <c r="V291">
        <v>-0.42198581600000001</v>
      </c>
      <c r="W291">
        <v>-69.399984559999993</v>
      </c>
      <c r="X291">
        <v>128.89998460000001</v>
      </c>
      <c r="Y291">
        <v>3.8000154369999999</v>
      </c>
      <c r="Z291">
        <v>3.539927804</v>
      </c>
      <c r="AA291">
        <v>20.399999999999999</v>
      </c>
      <c r="AB291">
        <v>0.56000000000000005</v>
      </c>
      <c r="AC291">
        <v>23.4</v>
      </c>
      <c r="AD291">
        <v>1479</v>
      </c>
      <c r="AE291">
        <v>4.2759352809999998</v>
      </c>
      <c r="AF291">
        <v>1.392872018</v>
      </c>
      <c r="AG291" t="s">
        <v>47</v>
      </c>
      <c r="AH291">
        <v>0</v>
      </c>
      <c r="AI291">
        <v>0</v>
      </c>
      <c r="AJ291">
        <v>1</v>
      </c>
      <c r="AK291">
        <v>0</v>
      </c>
      <c r="AL291" t="s">
        <v>48</v>
      </c>
      <c r="AM291" t="s">
        <v>335</v>
      </c>
      <c r="AN291">
        <v>3.5400000000000001E-2</v>
      </c>
      <c r="AO291">
        <v>4.4699999999999997E-2</v>
      </c>
      <c r="AP291">
        <v>139.87</v>
      </c>
      <c r="AQ291">
        <v>2E-3</v>
      </c>
      <c r="AR291">
        <v>451</v>
      </c>
      <c r="AS291">
        <v>1000</v>
      </c>
    </row>
    <row r="292" spans="1:45" x14ac:dyDescent="0.2">
      <c r="A292" t="s">
        <v>605</v>
      </c>
      <c r="B292" t="s">
        <v>513</v>
      </c>
      <c r="C292" t="s">
        <v>514</v>
      </c>
      <c r="D292" t="s">
        <v>606</v>
      </c>
      <c r="E292">
        <v>-27.433789999999998</v>
      </c>
      <c r="F292">
        <v>153.4358</v>
      </c>
      <c r="G292" t="s">
        <v>607</v>
      </c>
      <c r="H292" t="s">
        <v>602</v>
      </c>
      <c r="I292">
        <v>11.652054789999999</v>
      </c>
      <c r="J292">
        <v>1.4733692460000001</v>
      </c>
      <c r="K292">
        <v>-8.1978899999999993E-3</v>
      </c>
      <c r="L292">
        <v>8.2494197000000005E-2</v>
      </c>
      <c r="M292">
        <f t="shared" si="4"/>
        <v>1.481567136</v>
      </c>
      <c r="N292">
        <v>3.17</v>
      </c>
      <c r="O292">
        <v>3.85</v>
      </c>
      <c r="P292">
        <v>-0.38</v>
      </c>
      <c r="Q292">
        <v>0.73199999999999998</v>
      </c>
      <c r="R292">
        <v>-0.67800000000000005</v>
      </c>
      <c r="S292">
        <v>0</v>
      </c>
      <c r="T292">
        <v>1.41</v>
      </c>
      <c r="U292">
        <v>1.327</v>
      </c>
      <c r="V292">
        <v>-0.42198581600000001</v>
      </c>
      <c r="W292">
        <v>-69.399984559999993</v>
      </c>
      <c r="X292">
        <v>128.89998460000001</v>
      </c>
      <c r="Y292">
        <v>3.8000154369999999</v>
      </c>
      <c r="Z292">
        <v>3.85819789</v>
      </c>
      <c r="AA292">
        <v>23.8</v>
      </c>
      <c r="AB292">
        <v>0.64</v>
      </c>
      <c r="AC292">
        <v>23.4</v>
      </c>
      <c r="AD292">
        <v>1479</v>
      </c>
      <c r="AE292">
        <v>4.2759352809999998</v>
      </c>
      <c r="AF292">
        <v>1.392872018</v>
      </c>
      <c r="AG292" t="s">
        <v>47</v>
      </c>
      <c r="AH292">
        <v>0</v>
      </c>
      <c r="AI292">
        <v>0</v>
      </c>
      <c r="AJ292">
        <v>1</v>
      </c>
      <c r="AK292">
        <v>0</v>
      </c>
      <c r="AL292" t="s">
        <v>48</v>
      </c>
      <c r="AM292" t="s">
        <v>335</v>
      </c>
      <c r="AN292">
        <v>0.21099999999999999</v>
      </c>
      <c r="AO292">
        <v>0.48</v>
      </c>
      <c r="AP292">
        <v>202.1825</v>
      </c>
      <c r="AQ292">
        <v>2E-3</v>
      </c>
      <c r="AR292">
        <v>406</v>
      </c>
      <c r="AS292">
        <v>1000</v>
      </c>
    </row>
    <row r="293" spans="1:45" x14ac:dyDescent="0.2">
      <c r="A293" t="s">
        <v>608</v>
      </c>
      <c r="B293" t="s">
        <v>513</v>
      </c>
      <c r="C293" t="s">
        <v>514</v>
      </c>
      <c r="D293" t="s">
        <v>606</v>
      </c>
      <c r="E293">
        <v>-27.435110000000002</v>
      </c>
      <c r="F293">
        <v>153.43516</v>
      </c>
      <c r="G293" t="s">
        <v>607</v>
      </c>
      <c r="H293" t="s">
        <v>602</v>
      </c>
      <c r="I293">
        <v>11.652054789999999</v>
      </c>
      <c r="J293">
        <v>1.4733692460000001</v>
      </c>
      <c r="K293">
        <v>7.7827119999999998E-3</v>
      </c>
      <c r="L293">
        <v>6.9151727999999996E-2</v>
      </c>
      <c r="M293">
        <f t="shared" si="4"/>
        <v>1.4655865340000001</v>
      </c>
      <c r="N293">
        <v>3.17</v>
      </c>
      <c r="O293">
        <v>3.85</v>
      </c>
      <c r="P293">
        <v>-0.38</v>
      </c>
      <c r="Q293">
        <v>0.73199999999999998</v>
      </c>
      <c r="R293">
        <v>-0.67800000000000005</v>
      </c>
      <c r="S293">
        <v>0</v>
      </c>
      <c r="T293">
        <v>1.41</v>
      </c>
      <c r="U293">
        <v>1.327</v>
      </c>
      <c r="V293">
        <v>-0.42198581600000001</v>
      </c>
      <c r="W293">
        <v>-69.399984559999993</v>
      </c>
      <c r="X293">
        <v>128.89998460000001</v>
      </c>
      <c r="Y293">
        <v>3.8000154369999999</v>
      </c>
      <c r="Z293">
        <v>3.8422172880000001</v>
      </c>
      <c r="AA293">
        <v>23.8</v>
      </c>
      <c r="AB293">
        <v>0.64</v>
      </c>
      <c r="AC293">
        <v>23.4</v>
      </c>
      <c r="AD293">
        <v>1479</v>
      </c>
      <c r="AE293">
        <v>4.2759352809999998</v>
      </c>
      <c r="AF293">
        <v>1.392872018</v>
      </c>
      <c r="AG293" t="s">
        <v>47</v>
      </c>
      <c r="AH293">
        <v>0</v>
      </c>
      <c r="AI293">
        <v>0</v>
      </c>
      <c r="AJ293">
        <v>1</v>
      </c>
      <c r="AK293">
        <v>0</v>
      </c>
      <c r="AL293" t="s">
        <v>48</v>
      </c>
      <c r="AM293" t="s">
        <v>335</v>
      </c>
      <c r="AN293">
        <v>1.03E-2</v>
      </c>
      <c r="AO293" s="2">
        <v>8.0000000000000004E-4</v>
      </c>
      <c r="AP293">
        <v>207.36</v>
      </c>
      <c r="AQ293">
        <v>2E-3</v>
      </c>
      <c r="AR293">
        <v>408</v>
      </c>
      <c r="AS293">
        <v>1000</v>
      </c>
    </row>
    <row r="294" spans="1:45" x14ac:dyDescent="0.2">
      <c r="A294" t="s">
        <v>609</v>
      </c>
      <c r="B294" t="s">
        <v>513</v>
      </c>
      <c r="C294" t="s">
        <v>514</v>
      </c>
      <c r="D294" t="s">
        <v>606</v>
      </c>
      <c r="E294">
        <v>-27.435690000000001</v>
      </c>
      <c r="F294">
        <v>153.43512999999999</v>
      </c>
      <c r="G294" t="s">
        <v>607</v>
      </c>
      <c r="H294" t="s">
        <v>602</v>
      </c>
      <c r="I294">
        <v>11.652054789999999</v>
      </c>
      <c r="J294">
        <v>1.4733692460000001</v>
      </c>
      <c r="K294">
        <v>-2.9062391999999999E-2</v>
      </c>
      <c r="L294">
        <v>0.52010566300000005</v>
      </c>
      <c r="M294">
        <f t="shared" si="4"/>
        <v>1.502431638</v>
      </c>
      <c r="N294">
        <v>3.17</v>
      </c>
      <c r="O294">
        <v>3.85</v>
      </c>
      <c r="P294">
        <v>-0.38</v>
      </c>
      <c r="Q294">
        <v>0.73199999999999998</v>
      </c>
      <c r="R294">
        <v>-0.67800000000000005</v>
      </c>
      <c r="S294">
        <v>0</v>
      </c>
      <c r="T294">
        <v>1.41</v>
      </c>
      <c r="U294">
        <v>0.82699999999999996</v>
      </c>
      <c r="V294">
        <v>-6.7375886999999995E-2</v>
      </c>
      <c r="W294">
        <v>-69.399984559999993</v>
      </c>
      <c r="X294">
        <v>78.899984559999993</v>
      </c>
      <c r="Y294">
        <v>3.8000154369999999</v>
      </c>
      <c r="Z294">
        <v>3.8790623919999998</v>
      </c>
      <c r="AA294">
        <v>23.8</v>
      </c>
      <c r="AB294">
        <v>0.64</v>
      </c>
      <c r="AC294">
        <v>23.4</v>
      </c>
      <c r="AD294">
        <v>1479</v>
      </c>
      <c r="AE294">
        <v>4.2759352809999998</v>
      </c>
      <c r="AF294">
        <v>1.392872018</v>
      </c>
      <c r="AG294" t="s">
        <v>47</v>
      </c>
      <c r="AH294">
        <v>0</v>
      </c>
      <c r="AI294">
        <v>0</v>
      </c>
      <c r="AJ294">
        <v>1</v>
      </c>
      <c r="AK294">
        <v>0</v>
      </c>
      <c r="AL294" t="s">
        <v>48</v>
      </c>
      <c r="AM294" t="s">
        <v>335</v>
      </c>
      <c r="AN294">
        <v>-2.8799999999999999E-2</v>
      </c>
      <c r="AO294">
        <v>6.7999999999999996E-3</v>
      </c>
      <c r="AP294">
        <v>199.89</v>
      </c>
      <c r="AQ294">
        <v>2E-3</v>
      </c>
      <c r="AR294">
        <v>247</v>
      </c>
      <c r="AS294">
        <v>6940.625</v>
      </c>
    </row>
    <row r="295" spans="1:45" x14ac:dyDescent="0.2">
      <c r="A295" t="s">
        <v>610</v>
      </c>
      <c r="B295" t="s">
        <v>513</v>
      </c>
      <c r="C295" t="s">
        <v>514</v>
      </c>
      <c r="D295" t="s">
        <v>611</v>
      </c>
      <c r="E295">
        <v>-27.519970000000001</v>
      </c>
      <c r="F295">
        <v>153.41293999999999</v>
      </c>
      <c r="G295" t="s">
        <v>612</v>
      </c>
      <c r="H295" s="1">
        <v>42227</v>
      </c>
      <c r="I295">
        <v>8.4109589039999992</v>
      </c>
      <c r="J295">
        <v>3.0999975599999998</v>
      </c>
      <c r="K295">
        <v>0.22195711900000001</v>
      </c>
      <c r="L295">
        <v>3.2115556000000003E-2</v>
      </c>
      <c r="M295">
        <f t="shared" si="4"/>
        <v>2.878040441</v>
      </c>
      <c r="N295">
        <v>3.17</v>
      </c>
      <c r="O295">
        <v>3.85</v>
      </c>
      <c r="P295">
        <v>-0.38</v>
      </c>
      <c r="Q295">
        <v>0.73199999999999998</v>
      </c>
      <c r="R295">
        <v>-0.67800000000000005</v>
      </c>
      <c r="S295">
        <v>0</v>
      </c>
      <c r="T295">
        <v>1.41</v>
      </c>
      <c r="U295">
        <v>0.85699999999999998</v>
      </c>
      <c r="V295">
        <v>-8.8652482000000005E-2</v>
      </c>
      <c r="W295">
        <v>-69.399984559999993</v>
      </c>
      <c r="X295">
        <v>81.899984559999993</v>
      </c>
      <c r="Y295">
        <v>3.8000154369999999</v>
      </c>
      <c r="Z295">
        <v>3.6280428809999998</v>
      </c>
      <c r="AA295">
        <v>34</v>
      </c>
      <c r="AB295">
        <v>0.14000000000000001</v>
      </c>
      <c r="AC295">
        <v>23.4</v>
      </c>
      <c r="AD295">
        <v>1479</v>
      </c>
      <c r="AE295">
        <v>2.7858215789999998</v>
      </c>
      <c r="AF295">
        <v>1.179233387</v>
      </c>
      <c r="AG295" t="s">
        <v>47</v>
      </c>
      <c r="AH295">
        <v>0</v>
      </c>
      <c r="AI295">
        <v>0</v>
      </c>
      <c r="AJ295">
        <v>1</v>
      </c>
      <c r="AK295">
        <v>0</v>
      </c>
      <c r="AL295" t="s">
        <v>48</v>
      </c>
      <c r="AM295" t="s">
        <v>335</v>
      </c>
      <c r="AN295">
        <v>8.7900000000000006E-2</v>
      </c>
      <c r="AO295">
        <v>0.19</v>
      </c>
      <c r="AP295">
        <v>150.61000000000001</v>
      </c>
      <c r="AQ295">
        <v>6.7000000000000002E-3</v>
      </c>
      <c r="AR295">
        <v>278</v>
      </c>
      <c r="AS295">
        <v>1000</v>
      </c>
    </row>
    <row r="296" spans="1:45" x14ac:dyDescent="0.2">
      <c r="A296" t="s">
        <v>613</v>
      </c>
      <c r="B296" t="s">
        <v>513</v>
      </c>
      <c r="C296" t="s">
        <v>514</v>
      </c>
      <c r="D296" t="s">
        <v>611</v>
      </c>
      <c r="E296">
        <v>-27.520189999999999</v>
      </c>
      <c r="F296">
        <v>153.41266999999999</v>
      </c>
      <c r="G296" t="s">
        <v>612</v>
      </c>
      <c r="H296" t="s">
        <v>614</v>
      </c>
      <c r="I296">
        <v>11.430136989999999</v>
      </c>
      <c r="J296">
        <v>3.0999975599999998</v>
      </c>
      <c r="K296">
        <v>0.458528875</v>
      </c>
      <c r="L296">
        <v>0.76525610099999997</v>
      </c>
      <c r="M296">
        <f t="shared" si="4"/>
        <v>2.641468685</v>
      </c>
      <c r="N296">
        <v>3.17</v>
      </c>
      <c r="O296">
        <v>3.85</v>
      </c>
      <c r="P296">
        <v>-0.38</v>
      </c>
      <c r="Q296">
        <v>0.73199999999999998</v>
      </c>
      <c r="R296">
        <v>-0.67800000000000005</v>
      </c>
      <c r="S296">
        <v>0</v>
      </c>
      <c r="T296">
        <v>1.41</v>
      </c>
      <c r="U296">
        <v>0.71699999999999997</v>
      </c>
      <c r="V296">
        <v>1.0638297999999999E-2</v>
      </c>
      <c r="W296">
        <v>-69.399984559999993</v>
      </c>
      <c r="X296">
        <v>67.899984559999993</v>
      </c>
      <c r="Y296">
        <v>3.8000154369999999</v>
      </c>
      <c r="Z296">
        <v>3.3914711249999998</v>
      </c>
      <c r="AA296">
        <v>34</v>
      </c>
      <c r="AB296">
        <v>0.14000000000000001</v>
      </c>
      <c r="AC296">
        <v>23.4</v>
      </c>
      <c r="AD296">
        <v>1479</v>
      </c>
      <c r="AE296">
        <v>2.7858215789999998</v>
      </c>
      <c r="AF296">
        <v>1.179233387</v>
      </c>
      <c r="AG296" t="s">
        <v>47</v>
      </c>
      <c r="AH296">
        <v>0</v>
      </c>
      <c r="AI296">
        <v>0</v>
      </c>
      <c r="AJ296">
        <v>1</v>
      </c>
      <c r="AK296">
        <v>0</v>
      </c>
      <c r="AL296" t="s">
        <v>48</v>
      </c>
      <c r="AM296" t="s">
        <v>335</v>
      </c>
      <c r="AN296">
        <v>4.4400000000000002E-2</v>
      </c>
      <c r="AO296">
        <v>6.4899999999999999E-2</v>
      </c>
      <c r="AP296">
        <v>138.7825</v>
      </c>
      <c r="AQ296">
        <v>6.7000000000000002E-3</v>
      </c>
      <c r="AR296">
        <v>250</v>
      </c>
      <c r="AS296">
        <v>1000</v>
      </c>
    </row>
    <row r="297" spans="1:45" x14ac:dyDescent="0.2">
      <c r="A297" t="s">
        <v>615</v>
      </c>
      <c r="B297" t="s">
        <v>513</v>
      </c>
      <c r="C297" t="s">
        <v>514</v>
      </c>
      <c r="D297" t="s">
        <v>611</v>
      </c>
      <c r="E297">
        <v>-27.52054</v>
      </c>
      <c r="F297">
        <v>153.41237000000001</v>
      </c>
      <c r="G297" t="s">
        <v>612</v>
      </c>
      <c r="H297" t="s">
        <v>614</v>
      </c>
      <c r="I297">
        <v>11.430136989999999</v>
      </c>
      <c r="J297">
        <v>3.0999975599999998</v>
      </c>
      <c r="K297">
        <v>0.56575852500000001</v>
      </c>
      <c r="L297">
        <v>0.97597783800000004</v>
      </c>
      <c r="M297">
        <f t="shared" si="4"/>
        <v>2.5342390349999997</v>
      </c>
      <c r="N297">
        <v>3.17</v>
      </c>
      <c r="O297">
        <v>3.85</v>
      </c>
      <c r="P297">
        <v>-0.38</v>
      </c>
      <c r="Q297">
        <v>0.73199999999999998</v>
      </c>
      <c r="R297">
        <v>-0.67800000000000005</v>
      </c>
      <c r="S297">
        <v>0</v>
      </c>
      <c r="T297">
        <v>1.41</v>
      </c>
      <c r="U297">
        <v>0.71699999999999997</v>
      </c>
      <c r="V297">
        <v>1.0638297999999999E-2</v>
      </c>
      <c r="W297">
        <v>-69.399984559999993</v>
      </c>
      <c r="X297">
        <v>67.899984559999993</v>
      </c>
      <c r="Y297">
        <v>3.8000154369999999</v>
      </c>
      <c r="Z297">
        <v>3.284241475</v>
      </c>
      <c r="AA297">
        <v>34</v>
      </c>
      <c r="AB297">
        <v>0.14000000000000001</v>
      </c>
      <c r="AC297">
        <v>23.4</v>
      </c>
      <c r="AD297">
        <v>1479</v>
      </c>
      <c r="AE297">
        <v>2.7858215789999998</v>
      </c>
      <c r="AF297">
        <v>1.179233387</v>
      </c>
      <c r="AG297" t="s">
        <v>47</v>
      </c>
      <c r="AH297">
        <v>0</v>
      </c>
      <c r="AI297">
        <v>0</v>
      </c>
      <c r="AJ297">
        <v>1</v>
      </c>
      <c r="AK297">
        <v>0</v>
      </c>
      <c r="AL297" t="s">
        <v>48</v>
      </c>
      <c r="AM297" t="s">
        <v>335</v>
      </c>
      <c r="AN297">
        <v>-0.17480000000000001</v>
      </c>
      <c r="AO297">
        <v>0.28000000000000003</v>
      </c>
      <c r="AP297">
        <v>116.55500000000001</v>
      </c>
      <c r="AQ297">
        <v>6.7000000000000002E-3</v>
      </c>
      <c r="AR297">
        <v>261</v>
      </c>
      <c r="AS297">
        <v>666.79061779999995</v>
      </c>
    </row>
    <row r="298" spans="1:45" x14ac:dyDescent="0.2">
      <c r="A298" t="s">
        <v>616</v>
      </c>
      <c r="B298" t="s">
        <v>617</v>
      </c>
      <c r="C298" t="s">
        <v>169</v>
      </c>
      <c r="D298" t="s">
        <v>618</v>
      </c>
      <c r="E298">
        <v>37.919606250000001</v>
      </c>
      <c r="F298">
        <v>-122.6883832</v>
      </c>
      <c r="G298" s="1">
        <v>41400</v>
      </c>
      <c r="H298" s="1">
        <v>43593</v>
      </c>
      <c r="I298">
        <v>6.1698630139999997</v>
      </c>
      <c r="J298">
        <v>1.7512850719999999</v>
      </c>
      <c r="K298">
        <v>1.4911969039999999</v>
      </c>
      <c r="L298">
        <v>0.69735921899999997</v>
      </c>
      <c r="M298">
        <f t="shared" si="4"/>
        <v>0.26008816800000001</v>
      </c>
      <c r="N298">
        <v>2.27</v>
      </c>
      <c r="O298">
        <v>5.86</v>
      </c>
      <c r="P298">
        <v>0.96</v>
      </c>
      <c r="Q298">
        <v>1.54</v>
      </c>
      <c r="R298">
        <v>0.35</v>
      </c>
      <c r="S298">
        <v>0.95</v>
      </c>
      <c r="T298">
        <v>1.19</v>
      </c>
      <c r="U298">
        <v>1.763533333</v>
      </c>
      <c r="V298">
        <v>-0.18784313699999999</v>
      </c>
      <c r="W298">
        <v>-61.426447629999998</v>
      </c>
      <c r="X298">
        <v>83.779780930000001</v>
      </c>
      <c r="Y298">
        <v>92.573552370000002</v>
      </c>
      <c r="Z298">
        <v>4.3688030959999997</v>
      </c>
      <c r="AA298" t="s">
        <v>68</v>
      </c>
      <c r="AB298">
        <v>0.77</v>
      </c>
      <c r="AC298">
        <v>15.77</v>
      </c>
      <c r="AD298">
        <v>525.27200000000005</v>
      </c>
      <c r="AE298">
        <v>16.162384429999999</v>
      </c>
      <c r="AF298">
        <v>5.3062805519999996</v>
      </c>
      <c r="AG298" t="s">
        <v>619</v>
      </c>
      <c r="AH298">
        <v>0</v>
      </c>
      <c r="AI298">
        <v>1</v>
      </c>
      <c r="AJ298">
        <v>0</v>
      </c>
      <c r="AK298">
        <v>0</v>
      </c>
      <c r="AL298" t="s">
        <v>54</v>
      </c>
      <c r="AM298" t="s">
        <v>146</v>
      </c>
      <c r="AN298">
        <v>9.3700000000000006E-2</v>
      </c>
      <c r="AO298">
        <v>3.6999999999999998E-2</v>
      </c>
      <c r="AP298">
        <v>90.872500000000002</v>
      </c>
      <c r="AQ298">
        <v>0.32800000000000001</v>
      </c>
      <c r="AR298">
        <v>1076</v>
      </c>
      <c r="AS298">
        <v>1000</v>
      </c>
    </row>
    <row r="299" spans="1:45" x14ac:dyDescent="0.2">
      <c r="A299" t="s">
        <v>620</v>
      </c>
      <c r="B299" t="s">
        <v>617</v>
      </c>
      <c r="C299" t="s">
        <v>169</v>
      </c>
      <c r="D299" t="s">
        <v>618</v>
      </c>
      <c r="E299">
        <v>37.918550740000001</v>
      </c>
      <c r="F299">
        <v>-122.6880122</v>
      </c>
      <c r="G299" s="1">
        <v>41400</v>
      </c>
      <c r="H299" s="1">
        <v>43593</v>
      </c>
      <c r="I299">
        <v>6.1698630139999997</v>
      </c>
      <c r="J299">
        <v>1.605913449</v>
      </c>
      <c r="K299">
        <v>1.8034417659999999</v>
      </c>
      <c r="L299">
        <v>0.76710112399999997</v>
      </c>
      <c r="M299">
        <f t="shared" si="4"/>
        <v>-0.19752831699999995</v>
      </c>
      <c r="N299">
        <v>2.27</v>
      </c>
      <c r="O299">
        <v>5.86</v>
      </c>
      <c r="P299">
        <v>0.96</v>
      </c>
      <c r="Q299">
        <v>1.54</v>
      </c>
      <c r="R299">
        <v>0.35</v>
      </c>
      <c r="S299">
        <v>0.95</v>
      </c>
      <c r="T299">
        <v>1.19</v>
      </c>
      <c r="U299">
        <v>1.6992666670000001</v>
      </c>
      <c r="V299">
        <v>-0.13383753500000001</v>
      </c>
      <c r="W299">
        <v>-61.426447629999998</v>
      </c>
      <c r="X299">
        <v>77.353114329999997</v>
      </c>
      <c r="Y299">
        <v>92.573552370000002</v>
      </c>
      <c r="Z299">
        <v>4.0565582339999997</v>
      </c>
      <c r="AA299" t="s">
        <v>68</v>
      </c>
      <c r="AB299">
        <v>0.77</v>
      </c>
      <c r="AC299">
        <v>15.77</v>
      </c>
      <c r="AD299">
        <v>525.27200000000005</v>
      </c>
      <c r="AE299">
        <v>16.162384429999999</v>
      </c>
      <c r="AF299">
        <v>5.3062805519999996</v>
      </c>
      <c r="AG299" t="s">
        <v>621</v>
      </c>
      <c r="AH299">
        <v>0</v>
      </c>
      <c r="AI299">
        <v>1</v>
      </c>
      <c r="AJ299">
        <v>0</v>
      </c>
      <c r="AK299">
        <v>0</v>
      </c>
      <c r="AL299" t="s">
        <v>54</v>
      </c>
      <c r="AM299" t="s">
        <v>146</v>
      </c>
      <c r="AN299">
        <v>0.6694</v>
      </c>
      <c r="AO299">
        <v>0.87</v>
      </c>
      <c r="AP299">
        <v>81.157499999999999</v>
      </c>
      <c r="AQ299">
        <v>0.32800000000000001</v>
      </c>
      <c r="AR299">
        <v>1658</v>
      </c>
      <c r="AS299">
        <v>1000</v>
      </c>
    </row>
    <row r="300" spans="1:45" x14ac:dyDescent="0.2">
      <c r="A300" t="s">
        <v>622</v>
      </c>
      <c r="B300" t="s">
        <v>617</v>
      </c>
      <c r="C300" t="s">
        <v>169</v>
      </c>
      <c r="D300" t="s">
        <v>618</v>
      </c>
      <c r="E300">
        <v>37.91856756</v>
      </c>
      <c r="F300">
        <v>-122.687557</v>
      </c>
      <c r="G300" s="1">
        <v>41400</v>
      </c>
      <c r="H300" s="1">
        <v>43593</v>
      </c>
      <c r="I300">
        <v>6.1698630139999997</v>
      </c>
      <c r="J300">
        <v>5.2330186010000004</v>
      </c>
      <c r="K300">
        <v>5.5397307710000003</v>
      </c>
      <c r="L300">
        <v>0.97185015600000002</v>
      </c>
      <c r="M300">
        <f t="shared" si="4"/>
        <v>-0.30671216999999995</v>
      </c>
      <c r="N300">
        <v>2.27</v>
      </c>
      <c r="O300">
        <v>5.86</v>
      </c>
      <c r="P300">
        <v>0.96</v>
      </c>
      <c r="Q300">
        <v>1.54</v>
      </c>
      <c r="R300">
        <v>0.35</v>
      </c>
      <c r="S300">
        <v>0.95</v>
      </c>
      <c r="T300">
        <v>1.19</v>
      </c>
      <c r="U300">
        <v>1.4039999999999999</v>
      </c>
      <c r="V300">
        <v>0.114285714</v>
      </c>
      <c r="W300">
        <v>-61.426447629999998</v>
      </c>
      <c r="X300">
        <v>47.826447629999997</v>
      </c>
      <c r="Y300">
        <v>92.573552370000002</v>
      </c>
      <c r="Z300">
        <v>0.32026922899999999</v>
      </c>
      <c r="AA300" t="s">
        <v>68</v>
      </c>
      <c r="AB300">
        <v>0.77</v>
      </c>
      <c r="AC300">
        <v>15.77</v>
      </c>
      <c r="AD300">
        <v>525.27200000000005</v>
      </c>
      <c r="AE300">
        <v>16.162384429999999</v>
      </c>
      <c r="AF300">
        <v>5.3062805519999996</v>
      </c>
      <c r="AG300" t="s">
        <v>621</v>
      </c>
      <c r="AH300">
        <v>0</v>
      </c>
      <c r="AI300">
        <v>1</v>
      </c>
      <c r="AJ300">
        <v>0</v>
      </c>
      <c r="AK300">
        <v>0</v>
      </c>
      <c r="AL300" t="s">
        <v>54</v>
      </c>
      <c r="AM300" t="s">
        <v>146</v>
      </c>
      <c r="AN300">
        <v>0.68389999999999995</v>
      </c>
      <c r="AO300">
        <v>0.92</v>
      </c>
      <c r="AP300">
        <v>42.027500000000003</v>
      </c>
      <c r="AQ300">
        <v>0.32800000000000001</v>
      </c>
      <c r="AR300">
        <v>1000</v>
      </c>
      <c r="AS300">
        <v>1000</v>
      </c>
    </row>
    <row r="301" spans="1:45" x14ac:dyDescent="0.2">
      <c r="A301" t="s">
        <v>623</v>
      </c>
      <c r="B301" t="s">
        <v>617</v>
      </c>
      <c r="C301" t="s">
        <v>169</v>
      </c>
      <c r="D301" t="s">
        <v>618</v>
      </c>
      <c r="E301">
        <v>37.918486540000004</v>
      </c>
      <c r="F301">
        <v>-122.6875915</v>
      </c>
      <c r="G301" s="1">
        <v>41400</v>
      </c>
      <c r="H301" s="1">
        <v>43593</v>
      </c>
      <c r="I301">
        <v>6.1698630139999997</v>
      </c>
      <c r="J301">
        <v>3.4883571899999999</v>
      </c>
      <c r="K301">
        <v>4.3586283310000002</v>
      </c>
      <c r="L301">
        <v>0.822548689</v>
      </c>
      <c r="M301">
        <f t="shared" si="4"/>
        <v>-0.87027114100000036</v>
      </c>
      <c r="N301">
        <v>2.27</v>
      </c>
      <c r="O301">
        <v>5.86</v>
      </c>
      <c r="P301">
        <v>0.96</v>
      </c>
      <c r="Q301">
        <v>1.54</v>
      </c>
      <c r="R301">
        <v>0.35</v>
      </c>
      <c r="S301">
        <v>0.95</v>
      </c>
      <c r="T301">
        <v>1.19</v>
      </c>
      <c r="U301">
        <v>1.3956166670000001</v>
      </c>
      <c r="V301">
        <v>0.121330532</v>
      </c>
      <c r="W301">
        <v>-61.426447629999998</v>
      </c>
      <c r="X301">
        <v>46.988114330000002</v>
      </c>
      <c r="Y301">
        <v>92.573552370000002</v>
      </c>
      <c r="Z301">
        <v>1.5013716690000001</v>
      </c>
      <c r="AA301" t="s">
        <v>68</v>
      </c>
      <c r="AB301">
        <v>0.77</v>
      </c>
      <c r="AC301">
        <v>15.77</v>
      </c>
      <c r="AD301">
        <v>525.27200000000005</v>
      </c>
      <c r="AE301">
        <v>16.162384429999999</v>
      </c>
      <c r="AF301">
        <v>5.3062805519999996</v>
      </c>
      <c r="AG301" t="s">
        <v>621</v>
      </c>
      <c r="AH301">
        <v>0</v>
      </c>
      <c r="AI301">
        <v>1</v>
      </c>
      <c r="AJ301">
        <v>0</v>
      </c>
      <c r="AK301">
        <v>0</v>
      </c>
      <c r="AL301" t="s">
        <v>54</v>
      </c>
      <c r="AM301" t="s">
        <v>146</v>
      </c>
      <c r="AN301">
        <v>0.67820000000000003</v>
      </c>
      <c r="AO301">
        <v>0.91</v>
      </c>
      <c r="AP301">
        <v>47.452500000000001</v>
      </c>
      <c r="AQ301">
        <v>0.32800000000000001</v>
      </c>
      <c r="AR301">
        <v>1000</v>
      </c>
      <c r="AS301">
        <v>1000</v>
      </c>
    </row>
    <row r="302" spans="1:45" x14ac:dyDescent="0.2">
      <c r="A302" t="s">
        <v>624</v>
      </c>
      <c r="B302" t="s">
        <v>617</v>
      </c>
      <c r="C302" t="s">
        <v>169</v>
      </c>
      <c r="D302" t="s">
        <v>625</v>
      </c>
      <c r="E302">
        <v>38.037925749999999</v>
      </c>
      <c r="F302">
        <v>-121.8660912</v>
      </c>
      <c r="G302" t="s">
        <v>627</v>
      </c>
      <c r="H302" t="s">
        <v>628</v>
      </c>
      <c r="I302">
        <v>3.5890410959999999</v>
      </c>
      <c r="J302">
        <v>4.010381443</v>
      </c>
      <c r="K302">
        <v>1.566286882</v>
      </c>
      <c r="L302">
        <v>2.7137749999999999E-2</v>
      </c>
      <c r="M302">
        <f t="shared" si="4"/>
        <v>2.444094561</v>
      </c>
      <c r="N302">
        <v>2.25</v>
      </c>
      <c r="O302">
        <v>19.48</v>
      </c>
      <c r="P302">
        <v>0.84</v>
      </c>
      <c r="Q302">
        <v>1.6779999999999999</v>
      </c>
      <c r="R302">
        <v>0.56100000000000005</v>
      </c>
      <c r="S302">
        <v>1.1160000000000001</v>
      </c>
      <c r="T302">
        <v>1.117</v>
      </c>
      <c r="U302">
        <v>1.7693825080000001</v>
      </c>
      <c r="V302">
        <v>-8.1810661000000007E-2</v>
      </c>
      <c r="W302">
        <v>-58.450794930000001</v>
      </c>
      <c r="X302">
        <v>67.589045729999995</v>
      </c>
      <c r="Y302">
        <v>109.34920510000001</v>
      </c>
      <c r="Z302">
        <v>17.913713120000001</v>
      </c>
      <c r="AA302">
        <v>45.702819429999998</v>
      </c>
      <c r="AB302">
        <v>0.17</v>
      </c>
      <c r="AC302">
        <v>22.7</v>
      </c>
      <c r="AD302">
        <v>517.90599999999995</v>
      </c>
      <c r="AE302">
        <v>8.2710298299999998</v>
      </c>
      <c r="AF302">
        <v>3.6861178680000002</v>
      </c>
      <c r="AG302" t="s">
        <v>626</v>
      </c>
      <c r="AH302">
        <v>0</v>
      </c>
      <c r="AI302">
        <v>0</v>
      </c>
      <c r="AJ302">
        <v>1</v>
      </c>
      <c r="AK302">
        <v>0</v>
      </c>
      <c r="AL302" t="s">
        <v>48</v>
      </c>
      <c r="AM302" t="s">
        <v>335</v>
      </c>
      <c r="AN302">
        <v>-0.1033</v>
      </c>
      <c r="AO302">
        <v>0.56999999999999995</v>
      </c>
      <c r="AP302">
        <v>50.47</v>
      </c>
      <c r="AQ302">
        <v>4.4999999999999998E-2</v>
      </c>
      <c r="AR302">
        <v>989</v>
      </c>
      <c r="AS302">
        <v>488.5769603</v>
      </c>
    </row>
    <row r="303" spans="1:45" x14ac:dyDescent="0.2">
      <c r="A303" t="s">
        <v>629</v>
      </c>
      <c r="B303" t="s">
        <v>617</v>
      </c>
      <c r="C303" t="s">
        <v>169</v>
      </c>
      <c r="D303" t="s">
        <v>625</v>
      </c>
      <c r="E303">
        <v>38.03773322</v>
      </c>
      <c r="F303">
        <v>-121.8664249</v>
      </c>
      <c r="G303" t="s">
        <v>627</v>
      </c>
      <c r="H303" t="s">
        <v>628</v>
      </c>
      <c r="I303">
        <v>3.5890410959999999</v>
      </c>
      <c r="J303">
        <v>2.53482216</v>
      </c>
      <c r="K303">
        <v>-0.37894895299999998</v>
      </c>
      <c r="L303">
        <v>2.1798410000000001E-3</v>
      </c>
      <c r="M303">
        <f t="shared" si="4"/>
        <v>2.9137711130000001</v>
      </c>
      <c r="N303">
        <v>2.25</v>
      </c>
      <c r="O303">
        <v>19.48</v>
      </c>
      <c r="P303">
        <v>0.84</v>
      </c>
      <c r="Q303">
        <v>1.6779999999999999</v>
      </c>
      <c r="R303">
        <v>0.56100000000000005</v>
      </c>
      <c r="S303">
        <v>1.1160000000000001</v>
      </c>
      <c r="T303">
        <v>1.117</v>
      </c>
      <c r="U303">
        <v>1.808699174</v>
      </c>
      <c r="V303">
        <v>-0.117009108</v>
      </c>
      <c r="W303">
        <v>-58.450794930000001</v>
      </c>
      <c r="X303">
        <v>71.520712329999995</v>
      </c>
      <c r="Y303">
        <v>109.34920510000001</v>
      </c>
      <c r="Z303">
        <v>19.858948949999998</v>
      </c>
      <c r="AA303">
        <v>45.702819429999998</v>
      </c>
      <c r="AB303">
        <v>0.17</v>
      </c>
      <c r="AC303">
        <v>22.7</v>
      </c>
      <c r="AD303">
        <v>517.90599999999995</v>
      </c>
      <c r="AE303">
        <v>8.2710298299999998</v>
      </c>
      <c r="AF303">
        <v>3.6861178680000002</v>
      </c>
      <c r="AG303" t="s">
        <v>626</v>
      </c>
      <c r="AH303">
        <v>0</v>
      </c>
      <c r="AI303">
        <v>0</v>
      </c>
      <c r="AJ303">
        <v>1</v>
      </c>
      <c r="AK303">
        <v>0</v>
      </c>
      <c r="AL303" t="s">
        <v>48</v>
      </c>
      <c r="AM303" t="s">
        <v>335</v>
      </c>
      <c r="AN303">
        <v>-5.1999999999999998E-2</v>
      </c>
      <c r="AO303">
        <v>0.24759999999999999</v>
      </c>
      <c r="AP303">
        <v>79.555000000000007</v>
      </c>
      <c r="AQ303">
        <v>4.4999999999999998E-2</v>
      </c>
      <c r="AR303">
        <v>272</v>
      </c>
      <c r="AS303">
        <v>1529.9038459999999</v>
      </c>
    </row>
    <row r="304" spans="1:45" x14ac:dyDescent="0.2">
      <c r="A304" t="s">
        <v>630</v>
      </c>
      <c r="B304" t="s">
        <v>617</v>
      </c>
      <c r="C304" t="s">
        <v>169</v>
      </c>
      <c r="D304" t="s">
        <v>625</v>
      </c>
      <c r="E304">
        <v>38.03839936</v>
      </c>
      <c r="F304">
        <v>-121.87091770000001</v>
      </c>
      <c r="G304" t="s">
        <v>627</v>
      </c>
      <c r="H304" t="s">
        <v>628</v>
      </c>
      <c r="I304">
        <v>3.5890410959999999</v>
      </c>
      <c r="J304">
        <v>19.087241580000001</v>
      </c>
      <c r="K304">
        <v>10.75627091</v>
      </c>
      <c r="L304">
        <v>0.82272202299999997</v>
      </c>
      <c r="M304">
        <f t="shared" si="4"/>
        <v>8.330970670000001</v>
      </c>
      <c r="N304">
        <v>2.25</v>
      </c>
      <c r="O304">
        <v>19.48</v>
      </c>
      <c r="P304">
        <v>0.84</v>
      </c>
      <c r="Q304">
        <v>1.6779999999999999</v>
      </c>
      <c r="R304">
        <v>0.56100000000000005</v>
      </c>
      <c r="S304">
        <v>1.1160000000000001</v>
      </c>
      <c r="T304">
        <v>1.117</v>
      </c>
      <c r="U304">
        <v>1.3026325080000001</v>
      </c>
      <c r="V304">
        <v>0.33604967899999999</v>
      </c>
      <c r="W304">
        <v>-58.450794930000001</v>
      </c>
      <c r="X304">
        <v>20.914045730000002</v>
      </c>
      <c r="Y304">
        <v>109.34920510000001</v>
      </c>
      <c r="Z304">
        <v>8.7237290900000009</v>
      </c>
      <c r="AA304">
        <v>45.702819429999998</v>
      </c>
      <c r="AB304">
        <v>0.17</v>
      </c>
      <c r="AC304">
        <v>22.7</v>
      </c>
      <c r="AD304">
        <v>517.90599999999995</v>
      </c>
      <c r="AE304">
        <v>8.2710298299999998</v>
      </c>
      <c r="AF304">
        <v>3.6861178680000002</v>
      </c>
      <c r="AG304" t="s">
        <v>631</v>
      </c>
      <c r="AH304">
        <v>0</v>
      </c>
      <c r="AI304">
        <v>0</v>
      </c>
      <c r="AJ304">
        <v>1</v>
      </c>
      <c r="AK304">
        <v>0</v>
      </c>
      <c r="AL304" t="s">
        <v>48</v>
      </c>
      <c r="AM304" t="s">
        <v>335</v>
      </c>
      <c r="AN304">
        <v>-0.1027</v>
      </c>
      <c r="AO304">
        <v>0.99</v>
      </c>
      <c r="AP304">
        <v>11.3725</v>
      </c>
      <c r="AQ304">
        <v>4.4999999999999998E-2</v>
      </c>
      <c r="AR304">
        <v>1000</v>
      </c>
      <c r="AS304">
        <v>110.73515089999999</v>
      </c>
    </row>
    <row r="305" spans="1:45" x14ac:dyDescent="0.2">
      <c r="A305" t="s">
        <v>632</v>
      </c>
      <c r="B305" t="s">
        <v>617</v>
      </c>
      <c r="C305" t="s">
        <v>169</v>
      </c>
      <c r="D305" t="s">
        <v>625</v>
      </c>
      <c r="E305">
        <v>38.038659670000001</v>
      </c>
      <c r="F305">
        <v>-121.8710628</v>
      </c>
      <c r="G305" t="s">
        <v>627</v>
      </c>
      <c r="H305" t="s">
        <v>628</v>
      </c>
      <c r="I305">
        <v>3.5890410959999999</v>
      </c>
      <c r="J305">
        <v>11.36457206</v>
      </c>
      <c r="K305">
        <v>10.80705272</v>
      </c>
      <c r="L305">
        <v>0.75672246300000001</v>
      </c>
      <c r="M305">
        <f t="shared" si="4"/>
        <v>0.5575193400000007</v>
      </c>
      <c r="N305">
        <v>2.25</v>
      </c>
      <c r="O305">
        <v>19.48</v>
      </c>
      <c r="P305">
        <v>0.84</v>
      </c>
      <c r="Q305">
        <v>1.6779999999999999</v>
      </c>
      <c r="R305">
        <v>0.56100000000000005</v>
      </c>
      <c r="S305">
        <v>1.1160000000000001</v>
      </c>
      <c r="T305">
        <v>1.117</v>
      </c>
      <c r="U305">
        <v>1.413482508</v>
      </c>
      <c r="V305">
        <v>0.23681064600000001</v>
      </c>
      <c r="W305">
        <v>-58.450794930000001</v>
      </c>
      <c r="X305">
        <v>31.999045729999999</v>
      </c>
      <c r="Y305">
        <v>109.34920510000001</v>
      </c>
      <c r="Z305">
        <v>8.6729472800000007</v>
      </c>
      <c r="AA305">
        <v>45.702819429999998</v>
      </c>
      <c r="AB305">
        <v>0.17</v>
      </c>
      <c r="AC305">
        <v>22.7</v>
      </c>
      <c r="AD305">
        <v>517.90599999999995</v>
      </c>
      <c r="AE305">
        <v>8.2710298299999998</v>
      </c>
      <c r="AF305">
        <v>3.6861178680000002</v>
      </c>
      <c r="AG305" t="s">
        <v>631</v>
      </c>
      <c r="AH305">
        <v>0</v>
      </c>
      <c r="AI305">
        <v>0</v>
      </c>
      <c r="AJ305">
        <v>1</v>
      </c>
      <c r="AK305">
        <v>0</v>
      </c>
      <c r="AL305" t="s">
        <v>48</v>
      </c>
      <c r="AM305" t="s">
        <v>335</v>
      </c>
      <c r="AN305">
        <v>-0.18809999999999999</v>
      </c>
      <c r="AO305">
        <v>0.94</v>
      </c>
      <c r="AP305">
        <v>33.130000000000003</v>
      </c>
      <c r="AQ305">
        <v>4.4999999999999998E-2</v>
      </c>
      <c r="AR305">
        <v>1000</v>
      </c>
      <c r="AS305">
        <v>176.12971820000001</v>
      </c>
    </row>
    <row r="306" spans="1:45" x14ac:dyDescent="0.2">
      <c r="A306" t="s">
        <v>633</v>
      </c>
      <c r="B306" t="s">
        <v>617</v>
      </c>
      <c r="C306" t="s">
        <v>169</v>
      </c>
      <c r="D306" t="s">
        <v>634</v>
      </c>
      <c r="E306">
        <v>40.677653759999998</v>
      </c>
      <c r="F306">
        <v>-124.21734600000001</v>
      </c>
      <c r="G306" t="s">
        <v>636</v>
      </c>
      <c r="H306" s="1">
        <v>43594</v>
      </c>
      <c r="I306">
        <v>3.7890410960000001</v>
      </c>
      <c r="J306">
        <v>4.7455397570000004</v>
      </c>
      <c r="K306">
        <v>4.6365198379999999</v>
      </c>
      <c r="L306">
        <v>0.92959262499999995</v>
      </c>
      <c r="M306">
        <f t="shared" si="4"/>
        <v>0.10901991900000052</v>
      </c>
      <c r="N306">
        <v>5.0199999999999996</v>
      </c>
      <c r="O306">
        <v>1.96</v>
      </c>
      <c r="P306">
        <v>1.34</v>
      </c>
      <c r="Q306">
        <v>1.75</v>
      </c>
      <c r="R306">
        <v>0.24</v>
      </c>
      <c r="S306">
        <v>0.99</v>
      </c>
      <c r="T306">
        <v>1.51</v>
      </c>
      <c r="U306">
        <v>1.7785500000000001</v>
      </c>
      <c r="V306">
        <v>-1.8907284999999999E-2</v>
      </c>
      <c r="W306">
        <v>-72.620675009999999</v>
      </c>
      <c r="X306">
        <v>75.475675010000003</v>
      </c>
      <c r="Y306">
        <v>102.37932499999999</v>
      </c>
      <c r="Z306">
        <v>-2.6765198379999999</v>
      </c>
      <c r="AA306" t="s">
        <v>68</v>
      </c>
      <c r="AB306">
        <v>0.41</v>
      </c>
      <c r="AC306">
        <v>15.33</v>
      </c>
      <c r="AD306">
        <v>1024.3820000000001</v>
      </c>
      <c r="AE306">
        <v>6.5569880410000003</v>
      </c>
      <c r="AF306">
        <v>4.6575278200000003</v>
      </c>
      <c r="AG306" t="s">
        <v>635</v>
      </c>
      <c r="AH306">
        <v>0</v>
      </c>
      <c r="AI306">
        <v>1</v>
      </c>
      <c r="AJ306">
        <v>0</v>
      </c>
      <c r="AK306">
        <v>0</v>
      </c>
      <c r="AL306" t="s">
        <v>54</v>
      </c>
      <c r="AM306" t="s">
        <v>146</v>
      </c>
      <c r="AN306">
        <v>-0.12230000000000001</v>
      </c>
      <c r="AO306">
        <v>0.1</v>
      </c>
      <c r="AP306">
        <v>54.552500000000002</v>
      </c>
      <c r="AQ306">
        <v>0.12</v>
      </c>
      <c r="AR306">
        <v>1968</v>
      </c>
      <c r="AS306">
        <v>446.0547833</v>
      </c>
    </row>
    <row r="307" spans="1:45" x14ac:dyDescent="0.2">
      <c r="A307" t="s">
        <v>637</v>
      </c>
      <c r="B307" t="s">
        <v>617</v>
      </c>
      <c r="C307" t="s">
        <v>169</v>
      </c>
      <c r="D307" t="s">
        <v>634</v>
      </c>
      <c r="E307">
        <v>40.677613239999999</v>
      </c>
      <c r="F307">
        <v>-124.2177712</v>
      </c>
      <c r="G307" t="s">
        <v>636</v>
      </c>
      <c r="H307" s="1">
        <v>43594</v>
      </c>
      <c r="I307">
        <v>3.7890410960000001</v>
      </c>
      <c r="J307">
        <v>3.6613454160000001</v>
      </c>
      <c r="K307">
        <v>2.8816659019999999</v>
      </c>
      <c r="L307">
        <v>0.90610150199999995</v>
      </c>
      <c r="M307">
        <f t="shared" si="4"/>
        <v>0.77967951400000013</v>
      </c>
      <c r="N307">
        <v>5.0199999999999996</v>
      </c>
      <c r="O307">
        <v>1.96</v>
      </c>
      <c r="P307">
        <v>1.34</v>
      </c>
      <c r="Q307">
        <v>1.75</v>
      </c>
      <c r="R307">
        <v>0.24</v>
      </c>
      <c r="S307">
        <v>0.99</v>
      </c>
      <c r="T307">
        <v>1.51</v>
      </c>
      <c r="U307">
        <v>1.9035</v>
      </c>
      <c r="V307">
        <v>-0.101655629</v>
      </c>
      <c r="W307">
        <v>-72.620675009999999</v>
      </c>
      <c r="X307">
        <v>87.970675009999994</v>
      </c>
      <c r="Y307">
        <v>102.37932499999999</v>
      </c>
      <c r="Z307">
        <v>-0.92166590199999998</v>
      </c>
      <c r="AA307" t="s">
        <v>68</v>
      </c>
      <c r="AB307">
        <v>0.41</v>
      </c>
      <c r="AC307">
        <v>15.33</v>
      </c>
      <c r="AD307">
        <v>1024.3820000000001</v>
      </c>
      <c r="AE307">
        <v>6.5569880410000003</v>
      </c>
      <c r="AF307">
        <v>4.6575278200000003</v>
      </c>
      <c r="AG307" t="s">
        <v>635</v>
      </c>
      <c r="AH307">
        <v>0</v>
      </c>
      <c r="AI307">
        <v>1</v>
      </c>
      <c r="AJ307">
        <v>0</v>
      </c>
      <c r="AK307">
        <v>0</v>
      </c>
      <c r="AL307" t="s">
        <v>54</v>
      </c>
      <c r="AM307" t="s">
        <v>146</v>
      </c>
      <c r="AN307">
        <v>-1.7899999999999999E-2</v>
      </c>
      <c r="AO307">
        <v>1.8E-3</v>
      </c>
      <c r="AP307">
        <v>38.840000000000003</v>
      </c>
      <c r="AQ307">
        <v>0.12</v>
      </c>
      <c r="AR307">
        <v>411</v>
      </c>
      <c r="AS307">
        <v>2169.832402</v>
      </c>
    </row>
    <row r="308" spans="1:45" x14ac:dyDescent="0.2">
      <c r="A308" t="s">
        <v>638</v>
      </c>
      <c r="B308" t="s">
        <v>617</v>
      </c>
      <c r="C308" t="s">
        <v>169</v>
      </c>
      <c r="D308" t="s">
        <v>634</v>
      </c>
      <c r="E308">
        <v>40.843780000000002</v>
      </c>
      <c r="F308">
        <v>-124.0832554</v>
      </c>
      <c r="G308" t="s">
        <v>636</v>
      </c>
      <c r="H308" s="1">
        <v>43594</v>
      </c>
      <c r="I308">
        <v>3.7890410960000001</v>
      </c>
      <c r="J308">
        <v>3.421977719</v>
      </c>
      <c r="K308">
        <v>-1.209804742</v>
      </c>
      <c r="L308">
        <v>0.143902793</v>
      </c>
      <c r="M308">
        <f t="shared" si="4"/>
        <v>4.6317824610000002</v>
      </c>
      <c r="N308">
        <v>5.0199999999999996</v>
      </c>
      <c r="O308">
        <v>1.96</v>
      </c>
      <c r="P308">
        <v>1.34</v>
      </c>
      <c r="Q308">
        <v>1.75</v>
      </c>
      <c r="R308">
        <v>0.24</v>
      </c>
      <c r="S308">
        <v>0.99</v>
      </c>
      <c r="T308">
        <v>1.51</v>
      </c>
      <c r="U308">
        <v>2.1819999999999999</v>
      </c>
      <c r="V308">
        <v>-0.286092715</v>
      </c>
      <c r="W308">
        <v>-72.620675009999999</v>
      </c>
      <c r="X308">
        <v>115.82067499999999</v>
      </c>
      <c r="Y308">
        <v>102.37932499999999</v>
      </c>
      <c r="Z308">
        <v>3.1698047420000002</v>
      </c>
      <c r="AA308" t="s">
        <v>68</v>
      </c>
      <c r="AB308">
        <v>0.41</v>
      </c>
      <c r="AC308">
        <v>15.33</v>
      </c>
      <c r="AD308">
        <v>1024.3820000000001</v>
      </c>
      <c r="AE308">
        <v>5.4455883700000003</v>
      </c>
      <c r="AF308">
        <v>2.2478557499999998</v>
      </c>
      <c r="AG308" t="s">
        <v>639</v>
      </c>
      <c r="AH308">
        <v>1</v>
      </c>
      <c r="AI308">
        <v>1</v>
      </c>
      <c r="AJ308">
        <v>0</v>
      </c>
      <c r="AK308">
        <v>0</v>
      </c>
      <c r="AL308" t="s">
        <v>155</v>
      </c>
      <c r="AM308" t="s">
        <v>146</v>
      </c>
      <c r="AN308">
        <v>-0.107</v>
      </c>
      <c r="AO308">
        <v>0.67</v>
      </c>
      <c r="AP308">
        <v>25.2575</v>
      </c>
      <c r="AQ308">
        <v>0.18</v>
      </c>
      <c r="AR308">
        <v>186</v>
      </c>
      <c r="AS308">
        <v>236.0514019</v>
      </c>
    </row>
    <row r="309" spans="1:45" x14ac:dyDescent="0.2">
      <c r="A309" t="s">
        <v>640</v>
      </c>
      <c r="B309" t="s">
        <v>617</v>
      </c>
      <c r="C309" t="s">
        <v>169</v>
      </c>
      <c r="D309" t="s">
        <v>634</v>
      </c>
      <c r="E309">
        <v>40.847089619999998</v>
      </c>
      <c r="F309">
        <v>-124.0838313</v>
      </c>
      <c r="G309" t="s">
        <v>636</v>
      </c>
      <c r="H309" s="1">
        <v>43594</v>
      </c>
      <c r="I309">
        <v>3.7890410960000001</v>
      </c>
      <c r="J309">
        <v>2.2701561680000002</v>
      </c>
      <c r="K309">
        <v>1.6803588229999999</v>
      </c>
      <c r="L309">
        <v>0.59223172099999999</v>
      </c>
      <c r="M309">
        <f t="shared" si="4"/>
        <v>0.58979734500000025</v>
      </c>
      <c r="N309">
        <v>5.0199999999999996</v>
      </c>
      <c r="O309">
        <v>1.96</v>
      </c>
      <c r="P309">
        <v>1.34</v>
      </c>
      <c r="Q309">
        <v>1.75</v>
      </c>
      <c r="R309">
        <v>0.24</v>
      </c>
      <c r="S309">
        <v>0.99</v>
      </c>
      <c r="T309">
        <v>1.51</v>
      </c>
      <c r="U309">
        <v>2.214</v>
      </c>
      <c r="V309">
        <v>-0.30728476799999999</v>
      </c>
      <c r="W309">
        <v>-72.620675009999999</v>
      </c>
      <c r="X309">
        <v>119.020675</v>
      </c>
      <c r="Y309">
        <v>102.37932499999999</v>
      </c>
      <c r="Z309">
        <v>0.27964117700000002</v>
      </c>
      <c r="AA309" t="s">
        <v>68</v>
      </c>
      <c r="AB309">
        <v>0.41</v>
      </c>
      <c r="AC309">
        <v>15.33</v>
      </c>
      <c r="AD309">
        <v>1024.3820000000001</v>
      </c>
      <c r="AE309">
        <v>9.3073863590000006</v>
      </c>
      <c r="AF309">
        <v>4.7968747809999996</v>
      </c>
      <c r="AG309" t="s">
        <v>641</v>
      </c>
      <c r="AH309">
        <v>1</v>
      </c>
      <c r="AI309">
        <v>1</v>
      </c>
      <c r="AJ309">
        <v>0</v>
      </c>
      <c r="AK309">
        <v>0</v>
      </c>
      <c r="AL309" t="s">
        <v>155</v>
      </c>
      <c r="AM309" t="s">
        <v>146</v>
      </c>
      <c r="AN309">
        <v>0.1091</v>
      </c>
      <c r="AO309">
        <v>0.43</v>
      </c>
      <c r="AP309">
        <v>27.537500000000001</v>
      </c>
      <c r="AQ309">
        <v>0.18</v>
      </c>
      <c r="AR309">
        <v>356</v>
      </c>
      <c r="AS309">
        <v>1000</v>
      </c>
    </row>
    <row r="310" spans="1:45" x14ac:dyDescent="0.2">
      <c r="A310" t="s">
        <v>642</v>
      </c>
      <c r="B310" t="s">
        <v>617</v>
      </c>
      <c r="C310" t="s">
        <v>169</v>
      </c>
      <c r="D310" t="s">
        <v>634</v>
      </c>
      <c r="E310">
        <v>40.873142909999999</v>
      </c>
      <c r="F310">
        <v>-124.1506301</v>
      </c>
      <c r="G310" t="s">
        <v>644</v>
      </c>
      <c r="H310" s="1">
        <v>43655</v>
      </c>
      <c r="I310">
        <v>6.219178082</v>
      </c>
      <c r="J310">
        <v>1.525713836</v>
      </c>
      <c r="K310">
        <v>1.9277507869999999</v>
      </c>
      <c r="L310">
        <v>0.66857024300000001</v>
      </c>
      <c r="M310">
        <f t="shared" si="4"/>
        <v>-0.40203695099999992</v>
      </c>
      <c r="N310">
        <v>5.0199999999999996</v>
      </c>
      <c r="O310">
        <v>12.16</v>
      </c>
      <c r="P310">
        <v>1.34</v>
      </c>
      <c r="Q310">
        <v>1.75</v>
      </c>
      <c r="R310">
        <v>0.24</v>
      </c>
      <c r="S310">
        <v>0.99</v>
      </c>
      <c r="T310">
        <v>1.51</v>
      </c>
      <c r="U310">
        <v>2.1669499999999999</v>
      </c>
      <c r="V310">
        <v>-0.27612582800000002</v>
      </c>
      <c r="W310">
        <v>-72.620675009999999</v>
      </c>
      <c r="X310">
        <v>114.315675</v>
      </c>
      <c r="Y310">
        <v>102.37932499999999</v>
      </c>
      <c r="Z310">
        <v>10.232249210000001</v>
      </c>
      <c r="AA310" t="s">
        <v>68</v>
      </c>
      <c r="AB310">
        <v>0.41</v>
      </c>
      <c r="AC310">
        <v>15.33</v>
      </c>
      <c r="AD310">
        <v>1024.3820000000001</v>
      </c>
      <c r="AE310">
        <v>7.5548281670000001</v>
      </c>
      <c r="AF310">
        <v>4.9549667580000003</v>
      </c>
      <c r="AG310" t="s">
        <v>643</v>
      </c>
      <c r="AH310">
        <v>0</v>
      </c>
      <c r="AI310">
        <v>1</v>
      </c>
      <c r="AJ310">
        <v>0</v>
      </c>
      <c r="AK310">
        <v>0</v>
      </c>
      <c r="AL310" t="s">
        <v>54</v>
      </c>
      <c r="AM310" t="s">
        <v>146</v>
      </c>
      <c r="AN310">
        <v>0.1696</v>
      </c>
      <c r="AO310">
        <v>0.74</v>
      </c>
      <c r="AP310">
        <v>35.952500000000001</v>
      </c>
      <c r="AQ310">
        <v>0.15</v>
      </c>
      <c r="AR310">
        <v>370</v>
      </c>
      <c r="AS310">
        <v>1000</v>
      </c>
    </row>
    <row r="311" spans="1:45" x14ac:dyDescent="0.2">
      <c r="A311" t="s">
        <v>645</v>
      </c>
      <c r="B311" t="s">
        <v>617</v>
      </c>
      <c r="C311" t="s">
        <v>169</v>
      </c>
      <c r="D311" t="s">
        <v>634</v>
      </c>
      <c r="E311">
        <v>40.873350530000003</v>
      </c>
      <c r="F311">
        <v>-124.15058620000001</v>
      </c>
      <c r="G311" t="s">
        <v>644</v>
      </c>
      <c r="H311" s="1">
        <v>43655</v>
      </c>
      <c r="I311">
        <v>6.219178082</v>
      </c>
      <c r="J311">
        <v>1.5929179090000001</v>
      </c>
      <c r="K311">
        <v>1.482982545</v>
      </c>
      <c r="L311">
        <v>0.43255454999999998</v>
      </c>
      <c r="M311">
        <f t="shared" si="4"/>
        <v>0.10993536400000004</v>
      </c>
      <c r="N311">
        <v>5.0199999999999996</v>
      </c>
      <c r="O311">
        <v>12.16</v>
      </c>
      <c r="P311">
        <v>1.34</v>
      </c>
      <c r="Q311">
        <v>1.75</v>
      </c>
      <c r="R311">
        <v>0.24</v>
      </c>
      <c r="S311">
        <v>0.99</v>
      </c>
      <c r="T311">
        <v>1.51</v>
      </c>
      <c r="U311">
        <v>2.1715</v>
      </c>
      <c r="V311">
        <v>-0.27913907300000002</v>
      </c>
      <c r="W311">
        <v>-72.620675009999999</v>
      </c>
      <c r="X311">
        <v>114.770675</v>
      </c>
      <c r="Y311">
        <v>102.37932499999999</v>
      </c>
      <c r="Z311">
        <v>10.67701746</v>
      </c>
      <c r="AA311" t="s">
        <v>68</v>
      </c>
      <c r="AB311">
        <v>0.41</v>
      </c>
      <c r="AC311">
        <v>15.33</v>
      </c>
      <c r="AD311">
        <v>1024.3820000000001</v>
      </c>
      <c r="AE311">
        <v>7.5548281670000001</v>
      </c>
      <c r="AF311">
        <v>4.9549667580000003</v>
      </c>
      <c r="AG311" t="s">
        <v>643</v>
      </c>
      <c r="AH311">
        <v>0</v>
      </c>
      <c r="AI311">
        <v>1</v>
      </c>
      <c r="AJ311">
        <v>0</v>
      </c>
      <c r="AK311">
        <v>0</v>
      </c>
      <c r="AL311" t="s">
        <v>54</v>
      </c>
      <c r="AM311" t="s">
        <v>146</v>
      </c>
      <c r="AN311">
        <v>0.2223</v>
      </c>
      <c r="AO311">
        <v>0.96</v>
      </c>
      <c r="AP311">
        <v>36.002499999999998</v>
      </c>
      <c r="AQ311">
        <v>0.15</v>
      </c>
      <c r="AR311">
        <v>324</v>
      </c>
      <c r="AS311">
        <v>1000</v>
      </c>
    </row>
    <row r="312" spans="1:45" x14ac:dyDescent="0.2">
      <c r="A312" t="s">
        <v>646</v>
      </c>
      <c r="B312" t="s">
        <v>617</v>
      </c>
      <c r="C312" t="s">
        <v>169</v>
      </c>
      <c r="D312" t="s">
        <v>634</v>
      </c>
      <c r="E312">
        <v>40.863907089999998</v>
      </c>
      <c r="F312">
        <v>-124.1508736</v>
      </c>
      <c r="G312" t="s">
        <v>644</v>
      </c>
      <c r="H312" s="1">
        <v>43655</v>
      </c>
      <c r="I312">
        <v>6.219178082</v>
      </c>
      <c r="J312">
        <v>3.2746168330000001</v>
      </c>
      <c r="K312">
        <v>3.7385389760000001</v>
      </c>
      <c r="L312">
        <v>0.90518239300000003</v>
      </c>
      <c r="M312">
        <f t="shared" si="4"/>
        <v>-0.46392214300000001</v>
      </c>
      <c r="N312">
        <v>5.0199999999999996</v>
      </c>
      <c r="O312">
        <v>12.16</v>
      </c>
      <c r="P312">
        <v>1.34</v>
      </c>
      <c r="Q312">
        <v>1.75</v>
      </c>
      <c r="R312">
        <v>0.24</v>
      </c>
      <c r="S312">
        <v>0.99</v>
      </c>
      <c r="T312">
        <v>1.51</v>
      </c>
      <c r="U312">
        <v>1.7716499999999999</v>
      </c>
      <c r="V312">
        <v>-1.4337748000000001E-2</v>
      </c>
      <c r="W312">
        <v>-72.620675009999999</v>
      </c>
      <c r="X312">
        <v>74.785675010000006</v>
      </c>
      <c r="Y312">
        <v>102.37932499999999</v>
      </c>
      <c r="Z312">
        <v>8.4214610239999992</v>
      </c>
      <c r="AA312" t="s">
        <v>68</v>
      </c>
      <c r="AB312">
        <v>0.41</v>
      </c>
      <c r="AC312">
        <v>15.33</v>
      </c>
      <c r="AD312">
        <v>1024.3820000000001</v>
      </c>
      <c r="AE312">
        <v>7.5548281670000001</v>
      </c>
      <c r="AF312">
        <v>4.9549667580000003</v>
      </c>
      <c r="AG312" t="s">
        <v>647</v>
      </c>
      <c r="AH312">
        <v>1</v>
      </c>
      <c r="AI312">
        <v>0</v>
      </c>
      <c r="AJ312">
        <v>0</v>
      </c>
      <c r="AK312">
        <v>0</v>
      </c>
      <c r="AL312" t="s">
        <v>155</v>
      </c>
      <c r="AM312" t="s">
        <v>146</v>
      </c>
      <c r="AN312">
        <v>0.215</v>
      </c>
      <c r="AO312">
        <v>0.43</v>
      </c>
      <c r="AP312">
        <v>123.935</v>
      </c>
      <c r="AQ312">
        <v>0.32</v>
      </c>
      <c r="AR312">
        <v>584</v>
      </c>
      <c r="AS312">
        <v>1000</v>
      </c>
    </row>
    <row r="313" spans="1:45" x14ac:dyDescent="0.2">
      <c r="A313" t="s">
        <v>648</v>
      </c>
      <c r="B313" t="s">
        <v>617</v>
      </c>
      <c r="C313" t="s">
        <v>169</v>
      </c>
      <c r="D313" t="s">
        <v>634</v>
      </c>
      <c r="E313">
        <v>40.863789060000002</v>
      </c>
      <c r="F313">
        <v>-124.1509665</v>
      </c>
      <c r="G313" t="s">
        <v>644</v>
      </c>
      <c r="H313" s="1">
        <v>43655</v>
      </c>
      <c r="I313">
        <v>6.219178082</v>
      </c>
      <c r="J313">
        <v>2.5307780559999999</v>
      </c>
      <c r="K313">
        <v>1.494493965</v>
      </c>
      <c r="L313">
        <v>0.59203786700000005</v>
      </c>
      <c r="M313">
        <f t="shared" si="4"/>
        <v>1.036284091</v>
      </c>
      <c r="N313">
        <v>5.0199999999999996</v>
      </c>
      <c r="O313">
        <v>12.16</v>
      </c>
      <c r="P313">
        <v>1.34</v>
      </c>
      <c r="Q313">
        <v>1.75</v>
      </c>
      <c r="R313">
        <v>0.24</v>
      </c>
      <c r="S313">
        <v>0.99</v>
      </c>
      <c r="T313">
        <v>1.51</v>
      </c>
      <c r="U313">
        <v>1.7534000000000001</v>
      </c>
      <c r="V313">
        <v>-2.2516559999999999E-3</v>
      </c>
      <c r="W313">
        <v>-72.620675009999999</v>
      </c>
      <c r="X313">
        <v>72.960675010000003</v>
      </c>
      <c r="Y313">
        <v>102.37932499999999</v>
      </c>
      <c r="Z313">
        <v>10.66550604</v>
      </c>
      <c r="AA313" t="s">
        <v>68</v>
      </c>
      <c r="AB313">
        <v>0.41</v>
      </c>
      <c r="AC313">
        <v>15.33</v>
      </c>
      <c r="AD313">
        <v>1024.3820000000001</v>
      </c>
      <c r="AE313">
        <v>7.5548281670000001</v>
      </c>
      <c r="AF313">
        <v>4.9549667580000003</v>
      </c>
      <c r="AG313" t="s">
        <v>649</v>
      </c>
      <c r="AH313">
        <v>1</v>
      </c>
      <c r="AI313">
        <v>0</v>
      </c>
      <c r="AJ313">
        <v>0</v>
      </c>
      <c r="AK313">
        <v>0</v>
      </c>
      <c r="AL313" t="s">
        <v>155</v>
      </c>
      <c r="AM313" t="s">
        <v>146</v>
      </c>
      <c r="AN313">
        <v>0.14360000000000001</v>
      </c>
      <c r="AO313">
        <v>0.89</v>
      </c>
      <c r="AP313">
        <v>119.54</v>
      </c>
      <c r="AQ313">
        <v>0.32</v>
      </c>
      <c r="AR313">
        <v>207</v>
      </c>
      <c r="AS313">
        <v>1000</v>
      </c>
    </row>
    <row r="314" spans="1:45" x14ac:dyDescent="0.2">
      <c r="A314" t="s">
        <v>650</v>
      </c>
      <c r="B314" t="s">
        <v>617</v>
      </c>
      <c r="C314" t="s">
        <v>169</v>
      </c>
      <c r="D314" t="s">
        <v>634</v>
      </c>
      <c r="E314">
        <v>40.70414813</v>
      </c>
      <c r="F314">
        <v>-124.2164315</v>
      </c>
      <c r="G314" t="s">
        <v>636</v>
      </c>
      <c r="H314" s="1">
        <v>43594</v>
      </c>
      <c r="I314">
        <v>3.7890410960000001</v>
      </c>
      <c r="J314">
        <v>2.2561305379999999</v>
      </c>
      <c r="K314">
        <v>0.39173057</v>
      </c>
      <c r="L314">
        <v>9.4641036999999997E-2</v>
      </c>
      <c r="M314">
        <f t="shared" si="4"/>
        <v>1.8643999679999999</v>
      </c>
      <c r="N314">
        <v>5.0199999999999996</v>
      </c>
      <c r="O314">
        <v>1.96</v>
      </c>
      <c r="P314">
        <v>1.34</v>
      </c>
      <c r="Q314">
        <v>1.75</v>
      </c>
      <c r="R314">
        <v>0.24</v>
      </c>
      <c r="S314">
        <v>0.99</v>
      </c>
      <c r="T314">
        <v>1.51</v>
      </c>
      <c r="U314">
        <v>1.9068000000000001</v>
      </c>
      <c r="V314">
        <v>-0.10384106</v>
      </c>
      <c r="W314">
        <v>-72.620675009999999</v>
      </c>
      <c r="X314">
        <v>88.300675010000006</v>
      </c>
      <c r="Y314">
        <v>102.37932499999999</v>
      </c>
      <c r="Z314">
        <v>1.56826943</v>
      </c>
      <c r="AA314" t="s">
        <v>68</v>
      </c>
      <c r="AB314">
        <v>0.41</v>
      </c>
      <c r="AC314">
        <v>15.33</v>
      </c>
      <c r="AD314">
        <v>1024.3820000000001</v>
      </c>
      <c r="AE314">
        <v>6.5569880410000003</v>
      </c>
      <c r="AF314">
        <v>4.6575278200000003</v>
      </c>
      <c r="AG314" t="s">
        <v>621</v>
      </c>
      <c r="AH314">
        <v>0</v>
      </c>
      <c r="AI314">
        <v>1</v>
      </c>
      <c r="AJ314">
        <v>0</v>
      </c>
      <c r="AK314">
        <v>0</v>
      </c>
      <c r="AL314" t="s">
        <v>54</v>
      </c>
      <c r="AM314" t="s">
        <v>146</v>
      </c>
      <c r="AN314">
        <v>0.152</v>
      </c>
      <c r="AO314">
        <v>0.69930000000000003</v>
      </c>
      <c r="AP314">
        <v>12.91</v>
      </c>
      <c r="AQ314">
        <v>0.35</v>
      </c>
      <c r="AR314">
        <v>191</v>
      </c>
      <c r="AS314">
        <v>1000</v>
      </c>
    </row>
    <row r="315" spans="1:45" x14ac:dyDescent="0.2">
      <c r="A315" t="s">
        <v>651</v>
      </c>
      <c r="B315" t="s">
        <v>617</v>
      </c>
      <c r="C315" t="s">
        <v>169</v>
      </c>
      <c r="D315" t="s">
        <v>634</v>
      </c>
      <c r="E315">
        <v>40.704053430000002</v>
      </c>
      <c r="F315">
        <v>-124.2160155</v>
      </c>
      <c r="G315" t="s">
        <v>636</v>
      </c>
      <c r="H315" s="1">
        <v>43594</v>
      </c>
      <c r="I315">
        <v>3.7890410960000001</v>
      </c>
      <c r="J315">
        <v>3.2735406249999999</v>
      </c>
      <c r="K315">
        <v>4.0528651599999996</v>
      </c>
      <c r="L315">
        <v>0.94624792599999996</v>
      </c>
      <c r="M315">
        <f t="shared" si="4"/>
        <v>-0.77932453499999976</v>
      </c>
      <c r="N315">
        <v>5.0199999999999996</v>
      </c>
      <c r="O315">
        <v>1.96</v>
      </c>
      <c r="P315">
        <v>1.34</v>
      </c>
      <c r="Q315">
        <v>1.75</v>
      </c>
      <c r="R315">
        <v>0.24</v>
      </c>
      <c r="S315">
        <v>0.99</v>
      </c>
      <c r="T315">
        <v>1.51</v>
      </c>
      <c r="U315">
        <v>1.821</v>
      </c>
      <c r="V315">
        <v>-4.7019867999999999E-2</v>
      </c>
      <c r="W315">
        <v>-72.620675009999999</v>
      </c>
      <c r="X315">
        <v>79.720675009999994</v>
      </c>
      <c r="Y315">
        <v>102.37932499999999</v>
      </c>
      <c r="Z315">
        <v>-2.0928651600000001</v>
      </c>
      <c r="AA315" t="s">
        <v>68</v>
      </c>
      <c r="AB315">
        <v>0.41</v>
      </c>
      <c r="AC315">
        <v>15.33</v>
      </c>
      <c r="AD315">
        <v>1024.3820000000001</v>
      </c>
      <c r="AE315">
        <v>6.5569880410000003</v>
      </c>
      <c r="AF315">
        <v>4.6575278200000003</v>
      </c>
      <c r="AG315" t="s">
        <v>621</v>
      </c>
      <c r="AH315">
        <v>0</v>
      </c>
      <c r="AI315">
        <v>1</v>
      </c>
      <c r="AJ315">
        <v>0</v>
      </c>
      <c r="AK315">
        <v>0</v>
      </c>
      <c r="AL315" t="s">
        <v>54</v>
      </c>
      <c r="AM315" t="s">
        <v>146</v>
      </c>
      <c r="AN315">
        <v>-0.4173</v>
      </c>
      <c r="AO315">
        <v>0.99</v>
      </c>
      <c r="AP315">
        <v>52.19</v>
      </c>
      <c r="AQ315">
        <v>0.35</v>
      </c>
      <c r="AR315">
        <v>824</v>
      </c>
      <c r="AS315">
        <v>125.0658998</v>
      </c>
    </row>
    <row r="316" spans="1:45" x14ac:dyDescent="0.2">
      <c r="A316" t="s">
        <v>652</v>
      </c>
      <c r="B316" t="s">
        <v>617</v>
      </c>
      <c r="C316" t="s">
        <v>169</v>
      </c>
      <c r="D316" t="s">
        <v>653</v>
      </c>
      <c r="E316">
        <v>35.346958360000002</v>
      </c>
      <c r="F316">
        <v>-120.83324949999999</v>
      </c>
      <c r="G316" t="s">
        <v>654</v>
      </c>
      <c r="H316" s="1">
        <v>43557</v>
      </c>
      <c r="I316">
        <v>5.8054794520000002</v>
      </c>
      <c r="J316">
        <v>1.483529318</v>
      </c>
      <c r="K316">
        <v>0.55941174500000002</v>
      </c>
      <c r="L316">
        <v>0.42709034499999998</v>
      </c>
      <c r="M316">
        <f t="shared" si="4"/>
        <v>0.92411757299999997</v>
      </c>
      <c r="N316">
        <v>0.98</v>
      </c>
      <c r="O316">
        <v>4.84</v>
      </c>
      <c r="P316">
        <v>0.75</v>
      </c>
      <c r="Q316">
        <v>1.39</v>
      </c>
      <c r="R316">
        <v>0.3</v>
      </c>
      <c r="S316">
        <v>0.84</v>
      </c>
      <c r="T316">
        <v>1.0900000000000001</v>
      </c>
      <c r="U316">
        <v>1.7472000000000001</v>
      </c>
      <c r="V316">
        <v>-0.327706422</v>
      </c>
      <c r="W316">
        <v>-57.30066987</v>
      </c>
      <c r="X316">
        <v>93.020669870000006</v>
      </c>
      <c r="Y316">
        <v>81.699330130000007</v>
      </c>
      <c r="Z316">
        <v>4.2805882549999996</v>
      </c>
      <c r="AA316" t="s">
        <v>68</v>
      </c>
      <c r="AB316">
        <v>0.39</v>
      </c>
      <c r="AC316">
        <v>20.329999999999998</v>
      </c>
      <c r="AD316">
        <v>443.99200000000002</v>
      </c>
      <c r="AE316">
        <v>0.94915302800000001</v>
      </c>
      <c r="AF316">
        <v>0.64880345900000003</v>
      </c>
      <c r="AG316" t="s">
        <v>621</v>
      </c>
      <c r="AH316">
        <v>0</v>
      </c>
      <c r="AI316">
        <v>1</v>
      </c>
      <c r="AJ316">
        <v>0</v>
      </c>
      <c r="AK316">
        <v>0</v>
      </c>
      <c r="AL316" t="s">
        <v>54</v>
      </c>
      <c r="AM316" t="s">
        <v>275</v>
      </c>
      <c r="AN316">
        <v>-8.4900000000000003E-2</v>
      </c>
      <c r="AO316">
        <v>0.45600000000000002</v>
      </c>
      <c r="AP316">
        <v>35.384999999999998</v>
      </c>
      <c r="AQ316">
        <v>0.123</v>
      </c>
      <c r="AR316">
        <v>2212</v>
      </c>
      <c r="AS316">
        <v>416.7844523</v>
      </c>
    </row>
    <row r="317" spans="1:45" x14ac:dyDescent="0.2">
      <c r="A317" t="s">
        <v>655</v>
      </c>
      <c r="B317" t="s">
        <v>617</v>
      </c>
      <c r="C317" t="s">
        <v>169</v>
      </c>
      <c r="D317" t="s">
        <v>653</v>
      </c>
      <c r="E317">
        <v>35.346814330000001</v>
      </c>
      <c r="F317">
        <v>-120.8327582</v>
      </c>
      <c r="G317" t="s">
        <v>654</v>
      </c>
      <c r="H317" s="1">
        <v>43557</v>
      </c>
      <c r="I317">
        <v>5.8054794520000002</v>
      </c>
      <c r="J317">
        <v>1.471144644</v>
      </c>
      <c r="K317">
        <v>0.56020099599999995</v>
      </c>
      <c r="L317">
        <v>0.22861250799999999</v>
      </c>
      <c r="M317">
        <f t="shared" si="4"/>
        <v>0.91094364800000005</v>
      </c>
      <c r="N317">
        <v>0.98</v>
      </c>
      <c r="O317">
        <v>4.84</v>
      </c>
      <c r="P317">
        <v>0.75</v>
      </c>
      <c r="Q317">
        <v>1.39</v>
      </c>
      <c r="R317">
        <v>0.3</v>
      </c>
      <c r="S317">
        <v>0.84</v>
      </c>
      <c r="T317">
        <v>1.0900000000000001</v>
      </c>
      <c r="U317">
        <v>1.70885</v>
      </c>
      <c r="V317">
        <v>-0.29252293600000001</v>
      </c>
      <c r="W317">
        <v>-57.30066987</v>
      </c>
      <c r="X317">
        <v>89.185669869999998</v>
      </c>
      <c r="Y317">
        <v>81.699330130000007</v>
      </c>
      <c r="Z317">
        <v>4.279799004</v>
      </c>
      <c r="AA317" t="s">
        <v>68</v>
      </c>
      <c r="AB317">
        <v>0.39</v>
      </c>
      <c r="AC317">
        <v>20.329999999999998</v>
      </c>
      <c r="AD317">
        <v>443.99200000000002</v>
      </c>
      <c r="AE317">
        <v>0.94915302800000001</v>
      </c>
      <c r="AF317">
        <v>0.64880345900000003</v>
      </c>
      <c r="AG317" t="s">
        <v>621</v>
      </c>
      <c r="AH317">
        <v>0</v>
      </c>
      <c r="AI317">
        <v>1</v>
      </c>
      <c r="AJ317">
        <v>0</v>
      </c>
      <c r="AK317">
        <v>0</v>
      </c>
      <c r="AL317" t="s">
        <v>54</v>
      </c>
      <c r="AM317" t="s">
        <v>275</v>
      </c>
      <c r="AN317">
        <v>-6.2600000000000003E-2</v>
      </c>
      <c r="AO317">
        <v>0.34</v>
      </c>
      <c r="AP317">
        <v>83.557500000000005</v>
      </c>
      <c r="AQ317">
        <v>0.123</v>
      </c>
      <c r="AR317">
        <v>2124</v>
      </c>
      <c r="AS317">
        <v>1334.784345</v>
      </c>
    </row>
    <row r="318" spans="1:45" x14ac:dyDescent="0.2">
      <c r="A318" t="s">
        <v>656</v>
      </c>
      <c r="B318" t="s">
        <v>617</v>
      </c>
      <c r="C318" t="s">
        <v>169</v>
      </c>
      <c r="D318" t="s">
        <v>653</v>
      </c>
      <c r="E318">
        <v>35.345398170000003</v>
      </c>
      <c r="F318">
        <v>-120.8332142</v>
      </c>
      <c r="G318" t="s">
        <v>654</v>
      </c>
      <c r="H318" s="1">
        <v>43557</v>
      </c>
      <c r="I318">
        <v>5.8054794520000002</v>
      </c>
      <c r="J318">
        <v>2.1392735369999998</v>
      </c>
      <c r="K318">
        <v>1.1793395449999999</v>
      </c>
      <c r="L318">
        <v>0.58642060799999995</v>
      </c>
      <c r="M318">
        <f t="shared" si="4"/>
        <v>0.95993399199999985</v>
      </c>
      <c r="N318">
        <v>0.98</v>
      </c>
      <c r="O318">
        <v>4.84</v>
      </c>
      <c r="P318">
        <v>0.75</v>
      </c>
      <c r="Q318">
        <v>1.39</v>
      </c>
      <c r="R318">
        <v>0.3</v>
      </c>
      <c r="S318">
        <v>0.84</v>
      </c>
      <c r="T318">
        <v>1.0900000000000001</v>
      </c>
      <c r="U318">
        <v>1.6956</v>
      </c>
      <c r="V318">
        <v>-0.28036697199999999</v>
      </c>
      <c r="W318">
        <v>-57.30066987</v>
      </c>
      <c r="X318">
        <v>87.860669869999995</v>
      </c>
      <c r="Y318">
        <v>81.699330130000007</v>
      </c>
      <c r="Z318">
        <v>3.6606604549999999</v>
      </c>
      <c r="AA318" t="s">
        <v>68</v>
      </c>
      <c r="AB318">
        <v>0.39</v>
      </c>
      <c r="AC318">
        <v>20.329999999999998</v>
      </c>
      <c r="AD318">
        <v>443.99200000000002</v>
      </c>
      <c r="AE318">
        <v>0.94915302800000001</v>
      </c>
      <c r="AF318">
        <v>0.64880345900000003</v>
      </c>
      <c r="AG318" t="s">
        <v>621</v>
      </c>
      <c r="AH318">
        <v>0</v>
      </c>
      <c r="AI318">
        <v>1</v>
      </c>
      <c r="AJ318">
        <v>0</v>
      </c>
      <c r="AK318">
        <v>0</v>
      </c>
      <c r="AL318" t="s">
        <v>54</v>
      </c>
      <c r="AM318" t="s">
        <v>275</v>
      </c>
      <c r="AN318">
        <v>0.37240000000000001</v>
      </c>
      <c r="AO318">
        <v>0.59</v>
      </c>
      <c r="AP318">
        <v>98.987499999999997</v>
      </c>
      <c r="AQ318">
        <v>0.123</v>
      </c>
      <c r="AR318">
        <v>1000</v>
      </c>
      <c r="AS318">
        <v>1000</v>
      </c>
    </row>
    <row r="319" spans="1:45" x14ac:dyDescent="0.2">
      <c r="A319" t="s">
        <v>657</v>
      </c>
      <c r="B319" t="s">
        <v>617</v>
      </c>
      <c r="C319" t="s">
        <v>169</v>
      </c>
      <c r="D319" t="s">
        <v>653</v>
      </c>
      <c r="E319">
        <v>35.345669729999997</v>
      </c>
      <c r="F319">
        <v>-120.8337791</v>
      </c>
      <c r="G319" t="s">
        <v>654</v>
      </c>
      <c r="H319" s="1">
        <v>43557</v>
      </c>
      <c r="I319">
        <v>5.8054794520000002</v>
      </c>
      <c r="J319">
        <v>1.3032889560000001</v>
      </c>
      <c r="K319">
        <v>1.072202173</v>
      </c>
      <c r="L319">
        <v>0.67474642900000004</v>
      </c>
      <c r="M319">
        <f t="shared" si="4"/>
        <v>0.23108678300000007</v>
      </c>
      <c r="N319">
        <v>0.98</v>
      </c>
      <c r="O319">
        <v>4.84</v>
      </c>
      <c r="P319">
        <v>0.75</v>
      </c>
      <c r="Q319">
        <v>1.39</v>
      </c>
      <c r="R319">
        <v>0.3</v>
      </c>
      <c r="S319">
        <v>0.84</v>
      </c>
      <c r="T319">
        <v>1.0900000000000001</v>
      </c>
      <c r="U319">
        <v>1.72475</v>
      </c>
      <c r="V319">
        <v>-0.307110092</v>
      </c>
      <c r="W319">
        <v>-57.30066987</v>
      </c>
      <c r="X319">
        <v>90.775669870000002</v>
      </c>
      <c r="Y319">
        <v>81.699330130000007</v>
      </c>
      <c r="Z319">
        <v>3.7677978269999999</v>
      </c>
      <c r="AA319" t="s">
        <v>68</v>
      </c>
      <c r="AB319">
        <v>0.39</v>
      </c>
      <c r="AC319">
        <v>20.329999999999998</v>
      </c>
      <c r="AD319">
        <v>443.99200000000002</v>
      </c>
      <c r="AE319">
        <v>0.94915302800000001</v>
      </c>
      <c r="AF319">
        <v>0.64880345900000003</v>
      </c>
      <c r="AG319" t="s">
        <v>621</v>
      </c>
      <c r="AH319">
        <v>0</v>
      </c>
      <c r="AI319">
        <v>1</v>
      </c>
      <c r="AJ319">
        <v>0</v>
      </c>
      <c r="AK319">
        <v>0</v>
      </c>
      <c r="AL319" t="s">
        <v>54</v>
      </c>
      <c r="AM319" t="s">
        <v>275</v>
      </c>
      <c r="AN319">
        <v>0.1147</v>
      </c>
      <c r="AO319">
        <v>0.22</v>
      </c>
      <c r="AP319">
        <v>39.522500000000001</v>
      </c>
      <c r="AQ319">
        <v>0.123</v>
      </c>
      <c r="AR319">
        <v>1000</v>
      </c>
      <c r="AS319">
        <v>1000</v>
      </c>
    </row>
    <row r="320" spans="1:45" x14ac:dyDescent="0.2">
      <c r="A320" t="s">
        <v>658</v>
      </c>
      <c r="B320" t="s">
        <v>617</v>
      </c>
      <c r="C320" t="s">
        <v>169</v>
      </c>
      <c r="D320" t="s">
        <v>659</v>
      </c>
      <c r="E320">
        <v>47.093755440000002</v>
      </c>
      <c r="F320">
        <v>-122.6917217</v>
      </c>
      <c r="G320" s="1">
        <v>40065</v>
      </c>
      <c r="H320" t="s">
        <v>661</v>
      </c>
      <c r="I320">
        <v>8.6273972600000004</v>
      </c>
      <c r="J320">
        <v>2.5551933230000001</v>
      </c>
      <c r="K320">
        <v>2.2928341780000001</v>
      </c>
      <c r="L320">
        <v>0.914885642</v>
      </c>
      <c r="M320">
        <f t="shared" si="4"/>
        <v>0.26235914500000002</v>
      </c>
      <c r="N320">
        <v>2.11</v>
      </c>
      <c r="O320">
        <v>10.59</v>
      </c>
      <c r="P320">
        <v>0.99</v>
      </c>
      <c r="Q320">
        <v>2.59</v>
      </c>
      <c r="R320">
        <v>0.14000000000000001</v>
      </c>
      <c r="S320">
        <v>1.36</v>
      </c>
      <c r="T320">
        <v>2.4500000000000002</v>
      </c>
      <c r="U320" t="s">
        <v>68</v>
      </c>
      <c r="V320" t="s">
        <v>68</v>
      </c>
      <c r="W320">
        <v>-95.369445310000003</v>
      </c>
      <c r="X320" t="s">
        <v>68</v>
      </c>
      <c r="Y320">
        <v>163.6305547</v>
      </c>
      <c r="Z320">
        <v>8.2971658220000002</v>
      </c>
      <c r="AA320">
        <v>33.856000000000002</v>
      </c>
      <c r="AB320">
        <v>0.27126708700000002</v>
      </c>
      <c r="AC320">
        <v>16.5</v>
      </c>
      <c r="AD320">
        <v>996.18799999999999</v>
      </c>
      <c r="AE320">
        <v>0.807353247</v>
      </c>
      <c r="AF320">
        <v>0.47430815300000001</v>
      </c>
      <c r="AG320" t="s">
        <v>660</v>
      </c>
      <c r="AH320">
        <v>0</v>
      </c>
      <c r="AI320">
        <v>1</v>
      </c>
      <c r="AJ320">
        <v>0</v>
      </c>
      <c r="AK320">
        <v>0</v>
      </c>
      <c r="AL320" t="s">
        <v>54</v>
      </c>
      <c r="AM320" t="s">
        <v>530</v>
      </c>
      <c r="AN320">
        <v>-0.503</v>
      </c>
      <c r="AO320">
        <v>0.81</v>
      </c>
      <c r="AP320">
        <v>48.484999999999999</v>
      </c>
      <c r="AQ320">
        <v>0.113</v>
      </c>
      <c r="AR320">
        <v>1000</v>
      </c>
      <c r="AS320">
        <v>96.391650100000007</v>
      </c>
    </row>
    <row r="321" spans="1:45" x14ac:dyDescent="0.2">
      <c r="A321" t="s">
        <v>662</v>
      </c>
      <c r="B321" t="s">
        <v>617</v>
      </c>
      <c r="C321" t="s">
        <v>169</v>
      </c>
      <c r="D321" t="s">
        <v>659</v>
      </c>
      <c r="E321">
        <v>47.093610609999999</v>
      </c>
      <c r="F321">
        <v>-122.6914063</v>
      </c>
      <c r="G321" s="1">
        <v>40065</v>
      </c>
      <c r="H321" t="s">
        <v>661</v>
      </c>
      <c r="I321">
        <v>8.6273972600000004</v>
      </c>
      <c r="J321">
        <v>2.578096919</v>
      </c>
      <c r="K321">
        <v>2.7088846090000001</v>
      </c>
      <c r="L321">
        <v>0.93914904700000001</v>
      </c>
      <c r="M321">
        <f t="shared" si="4"/>
        <v>-0.13078769000000001</v>
      </c>
      <c r="N321">
        <v>2.11</v>
      </c>
      <c r="O321">
        <v>10.59</v>
      </c>
      <c r="P321">
        <v>0.99</v>
      </c>
      <c r="Q321">
        <v>2.59</v>
      </c>
      <c r="R321">
        <v>0.14000000000000001</v>
      </c>
      <c r="S321">
        <v>1.36</v>
      </c>
      <c r="T321">
        <v>2.4500000000000002</v>
      </c>
      <c r="U321" t="s">
        <v>68</v>
      </c>
      <c r="V321" t="s">
        <v>68</v>
      </c>
      <c r="W321">
        <v>-95.369445310000003</v>
      </c>
      <c r="X321" t="s">
        <v>68</v>
      </c>
      <c r="Y321">
        <v>163.6305547</v>
      </c>
      <c r="Z321">
        <v>7.8811153909999998</v>
      </c>
      <c r="AA321">
        <v>27.244</v>
      </c>
      <c r="AB321">
        <v>0.18710649200000001</v>
      </c>
      <c r="AC321">
        <v>16.5</v>
      </c>
      <c r="AD321">
        <v>996.18799999999999</v>
      </c>
      <c r="AE321">
        <v>0.807353247</v>
      </c>
      <c r="AF321">
        <v>0.47430815300000001</v>
      </c>
      <c r="AG321" t="s">
        <v>660</v>
      </c>
      <c r="AH321">
        <v>0</v>
      </c>
      <c r="AI321">
        <v>1</v>
      </c>
      <c r="AJ321">
        <v>0</v>
      </c>
      <c r="AK321">
        <v>0</v>
      </c>
      <c r="AL321" t="s">
        <v>54</v>
      </c>
      <c r="AM321" t="s">
        <v>530</v>
      </c>
      <c r="AN321">
        <v>-8.6999999999999994E-3</v>
      </c>
      <c r="AO321">
        <v>3.2000000000000001E-2</v>
      </c>
      <c r="AP321">
        <v>55.7</v>
      </c>
      <c r="AQ321">
        <v>0.113</v>
      </c>
      <c r="AR321">
        <v>1000</v>
      </c>
      <c r="AS321">
        <v>6402.2988509999996</v>
      </c>
    </row>
    <row r="322" spans="1:45" x14ac:dyDescent="0.2">
      <c r="A322" t="s">
        <v>663</v>
      </c>
      <c r="B322" t="s">
        <v>617</v>
      </c>
      <c r="C322" t="s">
        <v>169</v>
      </c>
      <c r="D322" t="s">
        <v>659</v>
      </c>
      <c r="E322">
        <v>47.093520060000003</v>
      </c>
      <c r="F322">
        <v>-122.69119600000001</v>
      </c>
      <c r="G322" s="1">
        <v>40065</v>
      </c>
      <c r="H322" t="s">
        <v>661</v>
      </c>
      <c r="I322">
        <v>8.6273972600000004</v>
      </c>
      <c r="J322">
        <v>2.4208177900000001</v>
      </c>
      <c r="K322">
        <v>2.2087704019999999</v>
      </c>
      <c r="L322">
        <v>0.91643425000000001</v>
      </c>
      <c r="M322">
        <f t="shared" si="4"/>
        <v>0.21204738800000023</v>
      </c>
      <c r="N322">
        <v>2.11</v>
      </c>
      <c r="O322">
        <v>10.59</v>
      </c>
      <c r="P322">
        <v>0.99</v>
      </c>
      <c r="Q322">
        <v>2.59</v>
      </c>
      <c r="R322">
        <v>0.14000000000000001</v>
      </c>
      <c r="S322">
        <v>1.36</v>
      </c>
      <c r="T322">
        <v>2.4500000000000002</v>
      </c>
      <c r="U322" t="s">
        <v>68</v>
      </c>
      <c r="V322" t="s">
        <v>68</v>
      </c>
      <c r="W322">
        <v>-95.369445310000003</v>
      </c>
      <c r="X322" t="s">
        <v>68</v>
      </c>
      <c r="Y322">
        <v>163.6305547</v>
      </c>
      <c r="Z322">
        <v>8.3812295979999991</v>
      </c>
      <c r="AA322">
        <v>16.78</v>
      </c>
      <c r="AB322">
        <v>0.29313635900000001</v>
      </c>
      <c r="AC322">
        <v>16.5</v>
      </c>
      <c r="AD322">
        <v>996.18799999999999</v>
      </c>
      <c r="AE322">
        <v>0.807353247</v>
      </c>
      <c r="AF322">
        <v>0.47430815300000001</v>
      </c>
      <c r="AG322" t="s">
        <v>660</v>
      </c>
      <c r="AH322">
        <v>0</v>
      </c>
      <c r="AI322">
        <v>1</v>
      </c>
      <c r="AJ322">
        <v>0</v>
      </c>
      <c r="AK322">
        <v>0</v>
      </c>
      <c r="AL322" t="s">
        <v>54</v>
      </c>
      <c r="AM322" t="s">
        <v>530</v>
      </c>
      <c r="AN322">
        <v>-0.3533</v>
      </c>
      <c r="AO322">
        <v>0.73</v>
      </c>
      <c r="AP322">
        <v>65.977500000000006</v>
      </c>
      <c r="AQ322">
        <v>0.113</v>
      </c>
      <c r="AR322">
        <v>1000</v>
      </c>
      <c r="AS322">
        <v>186.74639120000001</v>
      </c>
    </row>
    <row r="323" spans="1:45" x14ac:dyDescent="0.2">
      <c r="A323" t="s">
        <v>664</v>
      </c>
      <c r="B323" t="s">
        <v>617</v>
      </c>
      <c r="C323" t="s">
        <v>169</v>
      </c>
      <c r="D323" t="s">
        <v>665</v>
      </c>
      <c r="E323">
        <v>38.189996460000003</v>
      </c>
      <c r="F323">
        <v>-122.55033950000001</v>
      </c>
      <c r="G323" t="s">
        <v>666</v>
      </c>
      <c r="H323" t="s">
        <v>667</v>
      </c>
      <c r="I323">
        <v>3.5095890409999999</v>
      </c>
      <c r="J323">
        <v>3.2872199009999998</v>
      </c>
      <c r="K323">
        <v>2.7215333369999999</v>
      </c>
      <c r="L323">
        <v>0.51158526100000001</v>
      </c>
      <c r="M323">
        <f t="shared" ref="M323:M378" si="5">+J323-K323</f>
        <v>0.56568656399999995</v>
      </c>
      <c r="N323">
        <v>2.02</v>
      </c>
      <c r="O323">
        <v>8.8800000000000008</v>
      </c>
      <c r="P323">
        <v>0.94</v>
      </c>
      <c r="Q323">
        <v>1.76</v>
      </c>
      <c r="R323">
        <v>0.38</v>
      </c>
      <c r="S323">
        <v>1.07</v>
      </c>
      <c r="T323">
        <v>1.38</v>
      </c>
      <c r="U323">
        <v>2.0198650150000002</v>
      </c>
      <c r="V323">
        <v>-0.18830798200000001</v>
      </c>
      <c r="W323">
        <v>-68.389113519999995</v>
      </c>
      <c r="X323">
        <v>94.375615019999998</v>
      </c>
      <c r="Y323">
        <v>107.61088650000001</v>
      </c>
      <c r="Z323">
        <v>6.1584666629999996</v>
      </c>
      <c r="AA323">
        <v>18.25397194</v>
      </c>
      <c r="AB323">
        <v>0.31</v>
      </c>
      <c r="AC323">
        <v>21.44</v>
      </c>
      <c r="AD323">
        <v>676.91</v>
      </c>
      <c r="AE323">
        <v>20.335414320000002</v>
      </c>
      <c r="AF323">
        <v>12.52569841</v>
      </c>
      <c r="AG323" t="s">
        <v>621</v>
      </c>
      <c r="AH323">
        <v>0</v>
      </c>
      <c r="AI323">
        <v>1</v>
      </c>
      <c r="AJ323">
        <v>0</v>
      </c>
      <c r="AK323">
        <v>0</v>
      </c>
      <c r="AL323" t="s">
        <v>54</v>
      </c>
      <c r="AM323" t="s">
        <v>335</v>
      </c>
      <c r="AN323">
        <v>-2.1600000000000001E-2</v>
      </c>
      <c r="AO323">
        <v>0.47</v>
      </c>
      <c r="AP323">
        <v>14.1</v>
      </c>
      <c r="AQ323">
        <v>0.16300000000000001</v>
      </c>
      <c r="AR323">
        <v>1000</v>
      </c>
      <c r="AS323">
        <v>652.77777779999997</v>
      </c>
    </row>
    <row r="324" spans="1:45" x14ac:dyDescent="0.2">
      <c r="A324" t="s">
        <v>668</v>
      </c>
      <c r="B324" t="s">
        <v>617</v>
      </c>
      <c r="C324" t="s">
        <v>169</v>
      </c>
      <c r="D324" t="s">
        <v>665</v>
      </c>
      <c r="E324">
        <v>38.190031920000003</v>
      </c>
      <c r="F324">
        <v>-122.5497963</v>
      </c>
      <c r="G324" t="s">
        <v>666</v>
      </c>
      <c r="H324" t="s">
        <v>667</v>
      </c>
      <c r="I324">
        <v>3.5095890409999999</v>
      </c>
      <c r="J324">
        <v>3.3761646719999998</v>
      </c>
      <c r="K324">
        <v>3.1880984259999998</v>
      </c>
      <c r="L324">
        <v>0.75248680700000004</v>
      </c>
      <c r="M324">
        <f t="shared" si="5"/>
        <v>0.18806624599999999</v>
      </c>
      <c r="N324">
        <v>2.02</v>
      </c>
      <c r="O324">
        <v>8.8800000000000008</v>
      </c>
      <c r="P324">
        <v>0.94</v>
      </c>
      <c r="Q324">
        <v>1.76</v>
      </c>
      <c r="R324">
        <v>0.38</v>
      </c>
      <c r="S324">
        <v>1.07</v>
      </c>
      <c r="T324">
        <v>1.38</v>
      </c>
      <c r="U324">
        <v>2.011298349</v>
      </c>
      <c r="V324">
        <v>-0.18210025299999999</v>
      </c>
      <c r="W324">
        <v>-68.389113519999995</v>
      </c>
      <c r="X324">
        <v>93.518948420000001</v>
      </c>
      <c r="Y324">
        <v>107.61088650000001</v>
      </c>
      <c r="Z324">
        <v>5.6919015740000001</v>
      </c>
      <c r="AA324">
        <v>18.25397194</v>
      </c>
      <c r="AB324">
        <v>0.31</v>
      </c>
      <c r="AC324">
        <v>21.44</v>
      </c>
      <c r="AD324">
        <v>676.91</v>
      </c>
      <c r="AE324">
        <v>20.335414320000002</v>
      </c>
      <c r="AF324">
        <v>12.52569841</v>
      </c>
      <c r="AG324" t="s">
        <v>621</v>
      </c>
      <c r="AH324">
        <v>0</v>
      </c>
      <c r="AI324">
        <v>1</v>
      </c>
      <c r="AJ324">
        <v>0</v>
      </c>
      <c r="AK324">
        <v>0</v>
      </c>
      <c r="AL324" t="s">
        <v>54</v>
      </c>
      <c r="AM324" t="s">
        <v>335</v>
      </c>
      <c r="AN324">
        <v>-6.88E-2</v>
      </c>
      <c r="AO324">
        <v>0.9</v>
      </c>
      <c r="AP324">
        <v>16.545000000000002</v>
      </c>
      <c r="AQ324">
        <v>0.16300000000000001</v>
      </c>
      <c r="AR324">
        <v>1000</v>
      </c>
      <c r="AS324">
        <v>240.47965120000001</v>
      </c>
    </row>
    <row r="325" spans="1:45" x14ac:dyDescent="0.2">
      <c r="A325" t="s">
        <v>669</v>
      </c>
      <c r="B325" t="s">
        <v>617</v>
      </c>
      <c r="C325" t="s">
        <v>169</v>
      </c>
      <c r="D325" t="s">
        <v>665</v>
      </c>
      <c r="E325">
        <v>38.191167749999998</v>
      </c>
      <c r="F325">
        <v>-122.5500081</v>
      </c>
      <c r="G325" t="s">
        <v>666</v>
      </c>
      <c r="H325" t="s">
        <v>667</v>
      </c>
      <c r="I325">
        <v>3.5095890409999999</v>
      </c>
      <c r="J325">
        <v>2.5906878459999998</v>
      </c>
      <c r="K325">
        <v>4.403117934</v>
      </c>
      <c r="L325">
        <v>0.76905670199999998</v>
      </c>
      <c r="M325">
        <f t="shared" si="5"/>
        <v>-1.8124300880000002</v>
      </c>
      <c r="N325">
        <v>2.02</v>
      </c>
      <c r="O325">
        <v>8.8800000000000008</v>
      </c>
      <c r="P325">
        <v>0.94</v>
      </c>
      <c r="Q325">
        <v>1.76</v>
      </c>
      <c r="R325">
        <v>0.38</v>
      </c>
      <c r="S325">
        <v>1.07</v>
      </c>
      <c r="T325">
        <v>1.38</v>
      </c>
      <c r="U325">
        <v>1.9678316819999999</v>
      </c>
      <c r="V325">
        <v>-0.150602668</v>
      </c>
      <c r="W325">
        <v>-68.389113519999995</v>
      </c>
      <c r="X325">
        <v>89.172281720000001</v>
      </c>
      <c r="Y325">
        <v>107.61088650000001</v>
      </c>
      <c r="Z325">
        <v>4.4768820659999999</v>
      </c>
      <c r="AA325">
        <v>18.25397194</v>
      </c>
      <c r="AB325">
        <v>0.31</v>
      </c>
      <c r="AC325">
        <v>21.44</v>
      </c>
      <c r="AD325">
        <v>676.91</v>
      </c>
      <c r="AE325">
        <v>20.335414320000002</v>
      </c>
      <c r="AF325">
        <v>12.52569841</v>
      </c>
      <c r="AG325" t="s">
        <v>670</v>
      </c>
      <c r="AH325">
        <v>0</v>
      </c>
      <c r="AI325">
        <v>1</v>
      </c>
      <c r="AJ325">
        <v>0</v>
      </c>
      <c r="AK325">
        <v>0</v>
      </c>
      <c r="AL325" t="s">
        <v>54</v>
      </c>
      <c r="AM325" t="s">
        <v>335</v>
      </c>
      <c r="AN325">
        <v>-0.2495</v>
      </c>
      <c r="AO325">
        <v>0.73</v>
      </c>
      <c r="AP325">
        <v>194.215</v>
      </c>
      <c r="AQ325">
        <v>0.16300000000000001</v>
      </c>
      <c r="AR325">
        <v>1000</v>
      </c>
      <c r="AS325">
        <v>778.41683369999998</v>
      </c>
    </row>
    <row r="326" spans="1:45" x14ac:dyDescent="0.2">
      <c r="A326" t="s">
        <v>671</v>
      </c>
      <c r="B326" t="s">
        <v>617</v>
      </c>
      <c r="C326" t="s">
        <v>169</v>
      </c>
      <c r="D326" t="s">
        <v>665</v>
      </c>
      <c r="E326">
        <v>38.191588529999997</v>
      </c>
      <c r="F326">
        <v>-122.5495878</v>
      </c>
      <c r="G326" t="s">
        <v>666</v>
      </c>
      <c r="H326" t="s">
        <v>667</v>
      </c>
      <c r="I326">
        <v>3.5095890409999999</v>
      </c>
      <c r="J326">
        <v>2.1114520240000001</v>
      </c>
      <c r="K326">
        <v>3.6054715420000001</v>
      </c>
      <c r="L326">
        <v>0.74823065499999997</v>
      </c>
      <c r="M326">
        <f t="shared" si="5"/>
        <v>-1.494019518</v>
      </c>
      <c r="N326">
        <v>2.02</v>
      </c>
      <c r="O326">
        <v>8.8800000000000008</v>
      </c>
      <c r="P326">
        <v>0.94</v>
      </c>
      <c r="Q326">
        <v>1.76</v>
      </c>
      <c r="R326">
        <v>0.38</v>
      </c>
      <c r="S326">
        <v>1.07</v>
      </c>
      <c r="T326">
        <v>1.38</v>
      </c>
      <c r="U326">
        <v>1.931298349</v>
      </c>
      <c r="V326">
        <v>-0.124129238</v>
      </c>
      <c r="W326">
        <v>-68.389113519999995</v>
      </c>
      <c r="X326">
        <v>85.518948420000001</v>
      </c>
      <c r="Y326">
        <v>107.61088650000001</v>
      </c>
      <c r="Z326">
        <v>5.2745284579999998</v>
      </c>
      <c r="AA326">
        <v>18.25397194</v>
      </c>
      <c r="AB326">
        <v>0.31</v>
      </c>
      <c r="AC326">
        <v>21.44</v>
      </c>
      <c r="AD326">
        <v>676.91</v>
      </c>
      <c r="AE326">
        <v>20.335414320000002</v>
      </c>
      <c r="AF326">
        <v>12.52569841</v>
      </c>
      <c r="AG326" t="s">
        <v>670</v>
      </c>
      <c r="AH326">
        <v>0</v>
      </c>
      <c r="AI326">
        <v>1</v>
      </c>
      <c r="AJ326">
        <v>0</v>
      </c>
      <c r="AK326">
        <v>0</v>
      </c>
      <c r="AL326" t="s">
        <v>54</v>
      </c>
      <c r="AM326" t="s">
        <v>335</v>
      </c>
      <c r="AN326">
        <v>-0.37909999999999999</v>
      </c>
      <c r="AO326">
        <v>0.91</v>
      </c>
      <c r="AP326">
        <v>127.11</v>
      </c>
      <c r="AQ326">
        <v>0.16300000000000001</v>
      </c>
      <c r="AR326">
        <v>1000</v>
      </c>
      <c r="AS326">
        <v>335.29411759999999</v>
      </c>
    </row>
    <row r="327" spans="1:45" x14ac:dyDescent="0.2">
      <c r="A327" t="s">
        <v>672</v>
      </c>
      <c r="B327" t="s">
        <v>617</v>
      </c>
      <c r="C327" t="s">
        <v>169</v>
      </c>
      <c r="D327" t="s">
        <v>673</v>
      </c>
      <c r="E327">
        <v>38.199865039999999</v>
      </c>
      <c r="F327">
        <v>-122.02897710000001</v>
      </c>
      <c r="G327" t="s">
        <v>675</v>
      </c>
      <c r="H327" s="1">
        <v>43625</v>
      </c>
      <c r="I327">
        <v>3.5315068489999999</v>
      </c>
      <c r="J327">
        <v>2.706775897</v>
      </c>
      <c r="K327">
        <v>3.274808878</v>
      </c>
      <c r="L327">
        <v>0.21339198500000001</v>
      </c>
      <c r="M327">
        <f t="shared" si="5"/>
        <v>-0.56803298099999999</v>
      </c>
      <c r="N327">
        <v>2.02</v>
      </c>
      <c r="O327">
        <v>8.8800000000000008</v>
      </c>
      <c r="P327">
        <v>0.87</v>
      </c>
      <c r="Q327">
        <v>1.76</v>
      </c>
      <c r="R327">
        <v>0.38</v>
      </c>
      <c r="S327">
        <v>1.07</v>
      </c>
      <c r="T327">
        <v>1.38</v>
      </c>
      <c r="U327">
        <v>2.0244650150000001</v>
      </c>
      <c r="V327">
        <v>-0.19164131500000001</v>
      </c>
      <c r="W327">
        <v>-68.389113519999995</v>
      </c>
      <c r="X327">
        <v>94.835615020000006</v>
      </c>
      <c r="Y327">
        <v>107.61088650000001</v>
      </c>
      <c r="Z327">
        <v>5.6051911219999999</v>
      </c>
      <c r="AA327">
        <v>33.809219030000001</v>
      </c>
      <c r="AB327">
        <v>0.26</v>
      </c>
      <c r="AC327">
        <v>21.44</v>
      </c>
      <c r="AD327">
        <v>676.91</v>
      </c>
      <c r="AE327">
        <v>26.765219129999998</v>
      </c>
      <c r="AF327">
        <v>8.6917036700000008</v>
      </c>
      <c r="AG327" t="s">
        <v>674</v>
      </c>
      <c r="AH327">
        <v>0</v>
      </c>
      <c r="AI327">
        <v>1</v>
      </c>
      <c r="AJ327">
        <v>0</v>
      </c>
      <c r="AK327">
        <v>0</v>
      </c>
      <c r="AL327" t="s">
        <v>54</v>
      </c>
      <c r="AM327" t="s">
        <v>335</v>
      </c>
      <c r="AN327" s="2">
        <v>6.9999999999999999E-4</v>
      </c>
      <c r="AO327">
        <v>1E-3</v>
      </c>
      <c r="AP327">
        <v>207.69</v>
      </c>
      <c r="AQ327">
        <v>0.08</v>
      </c>
      <c r="AR327">
        <v>1000</v>
      </c>
      <c r="AS327">
        <v>1000</v>
      </c>
    </row>
    <row r="328" spans="1:45" x14ac:dyDescent="0.2">
      <c r="A328" t="s">
        <v>676</v>
      </c>
      <c r="B328" t="s">
        <v>617</v>
      </c>
      <c r="C328" t="s">
        <v>169</v>
      </c>
      <c r="D328" t="s">
        <v>673</v>
      </c>
      <c r="E328">
        <v>38.199701959999999</v>
      </c>
      <c r="F328">
        <v>-122.036464</v>
      </c>
      <c r="G328" t="s">
        <v>675</v>
      </c>
      <c r="H328" s="1">
        <v>43625</v>
      </c>
      <c r="I328">
        <v>3.5315068489999999</v>
      </c>
      <c r="J328">
        <v>2.6915090269999999</v>
      </c>
      <c r="K328">
        <v>4.4436457110000003</v>
      </c>
      <c r="L328">
        <v>0.37018563999999998</v>
      </c>
      <c r="M328">
        <f t="shared" si="5"/>
        <v>-1.7521366840000003</v>
      </c>
      <c r="N328">
        <v>2.02</v>
      </c>
      <c r="O328">
        <v>8.8800000000000008</v>
      </c>
      <c r="P328">
        <v>0.87</v>
      </c>
      <c r="Q328">
        <v>1.76</v>
      </c>
      <c r="R328">
        <v>0.38</v>
      </c>
      <c r="S328">
        <v>1.07</v>
      </c>
      <c r="T328">
        <v>1.38</v>
      </c>
      <c r="U328">
        <v>2.0106650149999998</v>
      </c>
      <c r="V328">
        <v>-0.181641315</v>
      </c>
      <c r="W328">
        <v>-68.389113519999995</v>
      </c>
      <c r="X328">
        <v>93.455615019999996</v>
      </c>
      <c r="Y328">
        <v>107.61088650000001</v>
      </c>
      <c r="Z328">
        <v>4.4363542889999996</v>
      </c>
      <c r="AA328">
        <v>33.809219030000001</v>
      </c>
      <c r="AB328">
        <v>0.26</v>
      </c>
      <c r="AC328">
        <v>21.44</v>
      </c>
      <c r="AD328">
        <v>676.91</v>
      </c>
      <c r="AE328">
        <v>26.765219129999998</v>
      </c>
      <c r="AF328">
        <v>8.6917036700000008</v>
      </c>
      <c r="AG328" t="s">
        <v>677</v>
      </c>
      <c r="AH328">
        <v>0</v>
      </c>
      <c r="AI328">
        <v>1</v>
      </c>
      <c r="AJ328">
        <v>0</v>
      </c>
      <c r="AK328">
        <v>0</v>
      </c>
      <c r="AL328" t="s">
        <v>54</v>
      </c>
      <c r="AM328" t="s">
        <v>335</v>
      </c>
      <c r="AN328">
        <v>-0.112</v>
      </c>
      <c r="AO328">
        <v>0.17</v>
      </c>
      <c r="AP328">
        <v>230.36750000000001</v>
      </c>
      <c r="AQ328">
        <v>0.08</v>
      </c>
      <c r="AR328">
        <v>1000</v>
      </c>
      <c r="AS328">
        <v>2056.8526790000001</v>
      </c>
    </row>
    <row r="329" spans="1:45" x14ac:dyDescent="0.2">
      <c r="A329" t="s">
        <v>678</v>
      </c>
      <c r="B329" t="s">
        <v>617</v>
      </c>
      <c r="C329" t="s">
        <v>169</v>
      </c>
      <c r="D329" t="s">
        <v>673</v>
      </c>
      <c r="E329">
        <v>38.193877030000003</v>
      </c>
      <c r="F329">
        <v>-122.014348</v>
      </c>
      <c r="G329" t="s">
        <v>675</v>
      </c>
      <c r="H329" s="1">
        <v>43625</v>
      </c>
      <c r="I329">
        <v>3.5315068489999999</v>
      </c>
      <c r="J329">
        <v>3.793739736</v>
      </c>
      <c r="K329">
        <v>4.0550775269999999</v>
      </c>
      <c r="L329">
        <v>0.53392614199999999</v>
      </c>
      <c r="M329">
        <f t="shared" si="5"/>
        <v>-0.26133779099999987</v>
      </c>
      <c r="N329">
        <v>2.02</v>
      </c>
      <c r="O329">
        <v>8.8800000000000008</v>
      </c>
      <c r="P329">
        <v>0.87</v>
      </c>
      <c r="Q329">
        <v>1.76</v>
      </c>
      <c r="R329">
        <v>0.38</v>
      </c>
      <c r="S329">
        <v>1.07</v>
      </c>
      <c r="T329">
        <v>1.38</v>
      </c>
      <c r="U329">
        <v>2.020098349</v>
      </c>
      <c r="V329">
        <v>-0.188477064</v>
      </c>
      <c r="W329">
        <v>-68.389113519999995</v>
      </c>
      <c r="X329">
        <v>94.398948419999996</v>
      </c>
      <c r="Y329">
        <v>107.61088650000001</v>
      </c>
      <c r="Z329">
        <v>4.824922473</v>
      </c>
      <c r="AA329">
        <v>33.809219030000001</v>
      </c>
      <c r="AB329">
        <v>0.26</v>
      </c>
      <c r="AC329">
        <v>21.44</v>
      </c>
      <c r="AD329">
        <v>676.91</v>
      </c>
      <c r="AE329">
        <v>26.765219129999998</v>
      </c>
      <c r="AF329">
        <v>8.6917036700000008</v>
      </c>
      <c r="AG329" t="s">
        <v>679</v>
      </c>
      <c r="AH329">
        <v>0</v>
      </c>
      <c r="AI329">
        <v>1</v>
      </c>
      <c r="AJ329">
        <v>1</v>
      </c>
      <c r="AK329">
        <v>0</v>
      </c>
      <c r="AL329" t="s">
        <v>54</v>
      </c>
      <c r="AM329" t="s">
        <v>335</v>
      </c>
      <c r="AN329">
        <v>-0.18360000000000001</v>
      </c>
      <c r="AO329">
        <v>0.61</v>
      </c>
      <c r="AP329">
        <v>97.49</v>
      </c>
      <c r="AQ329">
        <v>0.08</v>
      </c>
      <c r="AR329">
        <v>1000</v>
      </c>
      <c r="AS329">
        <v>530.99128540000004</v>
      </c>
    </row>
    <row r="330" spans="1:45" x14ac:dyDescent="0.2">
      <c r="A330" t="s">
        <v>680</v>
      </c>
      <c r="B330" t="s">
        <v>617</v>
      </c>
      <c r="C330" t="s">
        <v>169</v>
      </c>
      <c r="D330" t="s">
        <v>673</v>
      </c>
      <c r="E330">
        <v>38.190462009999997</v>
      </c>
      <c r="F330">
        <v>-122.01373700000001</v>
      </c>
      <c r="G330" t="s">
        <v>675</v>
      </c>
      <c r="H330" s="1">
        <v>43625</v>
      </c>
      <c r="I330">
        <v>3.5315068489999999</v>
      </c>
      <c r="J330">
        <v>3.1279721380000001</v>
      </c>
      <c r="K330">
        <v>3.7660281430000002</v>
      </c>
      <c r="L330">
        <v>0.75128140200000004</v>
      </c>
      <c r="M330">
        <f t="shared" si="5"/>
        <v>-0.63805600500000015</v>
      </c>
      <c r="N330">
        <v>2.02</v>
      </c>
      <c r="O330">
        <v>8.8800000000000008</v>
      </c>
      <c r="P330">
        <v>0.87</v>
      </c>
      <c r="Q330">
        <v>1.76</v>
      </c>
      <c r="R330">
        <v>0.38</v>
      </c>
      <c r="S330">
        <v>1.07</v>
      </c>
      <c r="T330">
        <v>1.38</v>
      </c>
      <c r="U330">
        <v>1.964731682</v>
      </c>
      <c r="V330">
        <v>-0.148356291</v>
      </c>
      <c r="W330">
        <v>-68.389113519999995</v>
      </c>
      <c r="X330">
        <v>88.862281719999999</v>
      </c>
      <c r="Y330">
        <v>107.61088650000001</v>
      </c>
      <c r="Z330">
        <v>5.1139718570000001</v>
      </c>
      <c r="AA330">
        <v>33.809219030000001</v>
      </c>
      <c r="AB330">
        <v>0.26</v>
      </c>
      <c r="AC330">
        <v>21.44</v>
      </c>
      <c r="AD330">
        <v>676.91</v>
      </c>
      <c r="AE330">
        <v>26.765219129999998</v>
      </c>
      <c r="AF330">
        <v>8.6917036700000008</v>
      </c>
      <c r="AG330" t="s">
        <v>681</v>
      </c>
      <c r="AH330">
        <v>0</v>
      </c>
      <c r="AI330">
        <v>0</v>
      </c>
      <c r="AJ330">
        <v>1</v>
      </c>
      <c r="AK330">
        <v>0</v>
      </c>
      <c r="AL330" t="s">
        <v>48</v>
      </c>
      <c r="AM330" t="s">
        <v>335</v>
      </c>
      <c r="AN330">
        <v>-0.34899999999999998</v>
      </c>
      <c r="AO330">
        <v>0.84</v>
      </c>
      <c r="AP330">
        <v>219.95500000000001</v>
      </c>
      <c r="AQ330">
        <v>0.08</v>
      </c>
      <c r="AR330">
        <v>1000</v>
      </c>
      <c r="AS330">
        <v>630.24355300000002</v>
      </c>
    </row>
    <row r="331" spans="1:45" x14ac:dyDescent="0.2">
      <c r="A331" t="s">
        <v>682</v>
      </c>
      <c r="B331" t="s">
        <v>617</v>
      </c>
      <c r="C331" t="s">
        <v>169</v>
      </c>
      <c r="D331" t="s">
        <v>683</v>
      </c>
      <c r="E331">
        <v>38.116180849999999</v>
      </c>
      <c r="F331">
        <v>-122.4746</v>
      </c>
      <c r="G331" s="1">
        <v>41400</v>
      </c>
      <c r="H331" s="1">
        <v>43802</v>
      </c>
      <c r="I331">
        <v>5.7698630140000002</v>
      </c>
      <c r="J331">
        <v>2.0052759710000001</v>
      </c>
      <c r="K331">
        <v>1.272936582</v>
      </c>
      <c r="L331">
        <v>0.29171232000000002</v>
      </c>
      <c r="M331">
        <f t="shared" si="5"/>
        <v>0.73233938900000006</v>
      </c>
      <c r="N331">
        <v>2.2000000000000002</v>
      </c>
      <c r="O331">
        <v>11.34</v>
      </c>
      <c r="P331">
        <v>0.93</v>
      </c>
      <c r="Q331">
        <v>1.76</v>
      </c>
      <c r="R331">
        <v>0.38</v>
      </c>
      <c r="S331">
        <v>1.07</v>
      </c>
      <c r="T331">
        <v>1.38</v>
      </c>
      <c r="U331">
        <v>1.986283333</v>
      </c>
      <c r="V331">
        <v>-0.16397343</v>
      </c>
      <c r="W331">
        <v>-68.389113519999995</v>
      </c>
      <c r="X331">
        <v>91.017446820000004</v>
      </c>
      <c r="Y331">
        <v>107.61088650000001</v>
      </c>
      <c r="Z331">
        <v>10.06706342</v>
      </c>
      <c r="AA331" t="s">
        <v>68</v>
      </c>
      <c r="AB331" t="s">
        <v>68</v>
      </c>
      <c r="AC331">
        <v>21.44</v>
      </c>
      <c r="AD331">
        <v>676.91</v>
      </c>
      <c r="AE331">
        <v>29.188870430000001</v>
      </c>
      <c r="AF331">
        <v>6.125996164</v>
      </c>
      <c r="AG331" t="s">
        <v>621</v>
      </c>
      <c r="AH331">
        <v>0</v>
      </c>
      <c r="AI331">
        <v>1</v>
      </c>
      <c r="AJ331">
        <v>0</v>
      </c>
      <c r="AK331">
        <v>0</v>
      </c>
      <c r="AL331" t="s">
        <v>54</v>
      </c>
      <c r="AM331" t="s">
        <v>335</v>
      </c>
      <c r="AN331">
        <v>5.6599999999999998E-2</v>
      </c>
      <c r="AO331">
        <v>3.3399999999999999E-2</v>
      </c>
      <c r="AP331">
        <v>122.15</v>
      </c>
      <c r="AQ331">
        <v>0.13</v>
      </c>
      <c r="AR331">
        <v>982</v>
      </c>
      <c r="AS331">
        <v>1000</v>
      </c>
    </row>
    <row r="332" spans="1:45" x14ac:dyDescent="0.2">
      <c r="A332" t="s">
        <v>684</v>
      </c>
      <c r="B332" t="s">
        <v>617</v>
      </c>
      <c r="C332" t="s">
        <v>169</v>
      </c>
      <c r="D332" t="s">
        <v>683</v>
      </c>
      <c r="E332">
        <v>38.116251570000003</v>
      </c>
      <c r="F332">
        <v>-122.47429150000001</v>
      </c>
      <c r="G332" s="1">
        <v>41400</v>
      </c>
      <c r="H332" s="1">
        <v>43802</v>
      </c>
      <c r="I332">
        <v>5.7698630140000002</v>
      </c>
      <c r="J332">
        <v>2.059621226</v>
      </c>
      <c r="K332">
        <v>1.423800688</v>
      </c>
      <c r="L332">
        <v>0.32821706699999997</v>
      </c>
      <c r="M332">
        <f t="shared" si="5"/>
        <v>0.63582053799999994</v>
      </c>
      <c r="N332">
        <v>2.2000000000000002</v>
      </c>
      <c r="O332">
        <v>11.34</v>
      </c>
      <c r="P332">
        <v>0.93</v>
      </c>
      <c r="Q332">
        <v>1.76</v>
      </c>
      <c r="R332">
        <v>0.38</v>
      </c>
      <c r="S332">
        <v>1.07</v>
      </c>
      <c r="T332">
        <v>1.38</v>
      </c>
      <c r="U332">
        <v>1.9839833330000001</v>
      </c>
      <c r="V332">
        <v>-0.16230676299999999</v>
      </c>
      <c r="W332">
        <v>-68.389113519999995</v>
      </c>
      <c r="X332">
        <v>90.78744682</v>
      </c>
      <c r="Y332">
        <v>107.61088650000001</v>
      </c>
      <c r="Z332">
        <v>9.9161993119999998</v>
      </c>
      <c r="AA332" t="s">
        <v>68</v>
      </c>
      <c r="AB332" t="s">
        <v>68</v>
      </c>
      <c r="AC332">
        <v>21.44</v>
      </c>
      <c r="AD332">
        <v>676.91</v>
      </c>
      <c r="AE332">
        <v>29.188870430000001</v>
      </c>
      <c r="AF332">
        <v>6.125996164</v>
      </c>
      <c r="AG332" t="s">
        <v>621</v>
      </c>
      <c r="AH332">
        <v>0</v>
      </c>
      <c r="AI332">
        <v>1</v>
      </c>
      <c r="AJ332">
        <v>0</v>
      </c>
      <c r="AK332">
        <v>0</v>
      </c>
      <c r="AL332" t="s">
        <v>54</v>
      </c>
      <c r="AM332" t="s">
        <v>335</v>
      </c>
      <c r="AN332">
        <v>0.41670000000000001</v>
      </c>
      <c r="AO332">
        <v>0.55000000000000004</v>
      </c>
      <c r="AP332">
        <v>125.33499999999999</v>
      </c>
      <c r="AQ332">
        <v>0.13</v>
      </c>
      <c r="AR332">
        <v>1170</v>
      </c>
      <c r="AS332">
        <v>1000</v>
      </c>
    </row>
    <row r="333" spans="1:45" x14ac:dyDescent="0.2">
      <c r="A333" t="s">
        <v>685</v>
      </c>
      <c r="B333" t="s">
        <v>617</v>
      </c>
      <c r="C333" t="s">
        <v>169</v>
      </c>
      <c r="D333" t="s">
        <v>683</v>
      </c>
      <c r="E333">
        <v>38.115035159999998</v>
      </c>
      <c r="F333">
        <v>-122.47435729999999</v>
      </c>
      <c r="G333" s="1">
        <v>41400</v>
      </c>
      <c r="H333" s="1">
        <v>43802</v>
      </c>
      <c r="I333">
        <v>5.7698630140000002</v>
      </c>
      <c r="J333" t="s">
        <v>68</v>
      </c>
      <c r="K333">
        <v>6.0932591540000001</v>
      </c>
      <c r="L333">
        <v>0.30624330700000002</v>
      </c>
      <c r="M333" t="e">
        <f t="shared" si="5"/>
        <v>#VALUE!</v>
      </c>
      <c r="N333">
        <v>2.2000000000000002</v>
      </c>
      <c r="O333">
        <v>11.34</v>
      </c>
      <c r="P333">
        <v>0.93</v>
      </c>
      <c r="Q333">
        <v>1.76</v>
      </c>
      <c r="R333">
        <v>0.38</v>
      </c>
      <c r="S333">
        <v>1.07</v>
      </c>
      <c r="T333">
        <v>1.38</v>
      </c>
      <c r="U333">
        <v>1.2770333330000001</v>
      </c>
      <c r="V333">
        <v>0.34997584599999998</v>
      </c>
      <c r="W333">
        <v>-68.389113519999995</v>
      </c>
      <c r="X333">
        <v>20.092446819999999</v>
      </c>
      <c r="Y333">
        <v>107.61088650000001</v>
      </c>
      <c r="Z333">
        <v>5.2467408459999998</v>
      </c>
      <c r="AA333" t="s">
        <v>68</v>
      </c>
      <c r="AB333" t="s">
        <v>68</v>
      </c>
      <c r="AC333">
        <v>21.44</v>
      </c>
      <c r="AD333">
        <v>676.91</v>
      </c>
      <c r="AE333">
        <v>29.188870430000001</v>
      </c>
      <c r="AF333">
        <v>6.125996164</v>
      </c>
      <c r="AG333" t="s">
        <v>686</v>
      </c>
      <c r="AH333">
        <v>1</v>
      </c>
      <c r="AI333">
        <v>0</v>
      </c>
      <c r="AJ333">
        <v>0</v>
      </c>
      <c r="AK333">
        <v>0</v>
      </c>
      <c r="AL333" t="s">
        <v>155</v>
      </c>
      <c r="AM333" t="s">
        <v>335</v>
      </c>
      <c r="AN333">
        <v>-0.34520000000000001</v>
      </c>
      <c r="AO333">
        <v>0.69</v>
      </c>
      <c r="AP333">
        <v>5.1224999999999996</v>
      </c>
      <c r="AQ333">
        <v>0.13</v>
      </c>
      <c r="AR333">
        <v>1000</v>
      </c>
      <c r="AS333">
        <v>14.83922364</v>
      </c>
    </row>
    <row r="334" spans="1:45" x14ac:dyDescent="0.2">
      <c r="A334" t="s">
        <v>687</v>
      </c>
      <c r="B334" t="s">
        <v>617</v>
      </c>
      <c r="C334" t="s">
        <v>169</v>
      </c>
      <c r="D334" t="s">
        <v>683</v>
      </c>
      <c r="E334">
        <v>38.115104449999997</v>
      </c>
      <c r="F334">
        <v>-122.4737293</v>
      </c>
      <c r="G334" s="1">
        <v>41400</v>
      </c>
      <c r="H334" s="1">
        <v>43802</v>
      </c>
      <c r="I334">
        <v>5.7698630140000002</v>
      </c>
      <c r="J334" t="s">
        <v>68</v>
      </c>
      <c r="K334">
        <v>6.216567188</v>
      </c>
      <c r="L334">
        <v>0.46137772700000002</v>
      </c>
      <c r="M334" t="e">
        <f t="shared" si="5"/>
        <v>#VALUE!</v>
      </c>
      <c r="N334">
        <v>2.2000000000000002</v>
      </c>
      <c r="O334">
        <v>11.34</v>
      </c>
      <c r="P334">
        <v>0.93</v>
      </c>
      <c r="Q334">
        <v>1.76</v>
      </c>
      <c r="R334">
        <v>0.38</v>
      </c>
      <c r="S334">
        <v>1.07</v>
      </c>
      <c r="T334">
        <v>1.38</v>
      </c>
      <c r="U334">
        <v>1.2775000000000001</v>
      </c>
      <c r="V334">
        <v>0.34963768099999998</v>
      </c>
      <c r="W334">
        <v>-68.389113519999995</v>
      </c>
      <c r="X334">
        <v>20.139113519999999</v>
      </c>
      <c r="Y334">
        <v>107.61088650000001</v>
      </c>
      <c r="Z334">
        <v>5.1234328119999999</v>
      </c>
      <c r="AA334" t="s">
        <v>68</v>
      </c>
      <c r="AB334" t="s">
        <v>68</v>
      </c>
      <c r="AC334">
        <v>21.44</v>
      </c>
      <c r="AD334">
        <v>676.91</v>
      </c>
      <c r="AE334">
        <v>29.188870430000001</v>
      </c>
      <c r="AF334">
        <v>6.125996164</v>
      </c>
      <c r="AG334" t="s">
        <v>686</v>
      </c>
      <c r="AH334">
        <v>1</v>
      </c>
      <c r="AI334">
        <v>0</v>
      </c>
      <c r="AJ334">
        <v>0</v>
      </c>
      <c r="AK334">
        <v>0</v>
      </c>
      <c r="AL334" t="s">
        <v>155</v>
      </c>
      <c r="AM334" t="s">
        <v>335</v>
      </c>
      <c r="AN334" t="s">
        <v>68</v>
      </c>
      <c r="AO334" t="s">
        <v>68</v>
      </c>
      <c r="AP334" t="s">
        <v>68</v>
      </c>
      <c r="AQ334">
        <v>0.13</v>
      </c>
      <c r="AR334">
        <v>1000</v>
      </c>
      <c r="AS334" t="s">
        <v>68</v>
      </c>
    </row>
    <row r="335" spans="1:45" x14ac:dyDescent="0.2">
      <c r="A335" t="s">
        <v>688</v>
      </c>
      <c r="B335" t="s">
        <v>617</v>
      </c>
      <c r="C335" t="s">
        <v>169</v>
      </c>
      <c r="D335" t="s">
        <v>689</v>
      </c>
      <c r="E335">
        <v>33.65173884</v>
      </c>
      <c r="F335">
        <v>-117.8814939</v>
      </c>
      <c r="G335" s="1">
        <v>41437</v>
      </c>
      <c r="H335" t="s">
        <v>690</v>
      </c>
      <c r="I335">
        <v>4.8027397260000004</v>
      </c>
      <c r="J335">
        <v>2.7599837780000001</v>
      </c>
      <c r="K335">
        <v>1.727927784</v>
      </c>
      <c r="L335">
        <v>0.43817435799999999</v>
      </c>
      <c r="M335">
        <f t="shared" si="5"/>
        <v>1.032055994</v>
      </c>
      <c r="N335">
        <v>2.2200000000000002</v>
      </c>
      <c r="O335">
        <v>4.41</v>
      </c>
      <c r="P335">
        <v>0.59</v>
      </c>
      <c r="Q335">
        <v>1.37</v>
      </c>
      <c r="R335">
        <v>0.23</v>
      </c>
      <c r="S335">
        <v>0.8</v>
      </c>
      <c r="T335">
        <v>1.1399999999999999</v>
      </c>
      <c r="U335">
        <v>1.6202000000000001</v>
      </c>
      <c r="V335">
        <v>-0.219473684</v>
      </c>
      <c r="W335">
        <v>-59.408812060000002</v>
      </c>
      <c r="X335">
        <v>84.428812059999998</v>
      </c>
      <c r="Y335">
        <v>77.591187939999998</v>
      </c>
      <c r="Z335">
        <v>2.6820722159999999</v>
      </c>
      <c r="AA335" t="s">
        <v>68</v>
      </c>
      <c r="AB335">
        <v>0.5</v>
      </c>
      <c r="AC335">
        <v>19.39</v>
      </c>
      <c r="AD335">
        <v>269.74799999999999</v>
      </c>
      <c r="AE335">
        <v>2.1677181920000002</v>
      </c>
      <c r="AF335">
        <v>0.62276059699999997</v>
      </c>
      <c r="AG335" t="s">
        <v>621</v>
      </c>
      <c r="AH335">
        <v>0</v>
      </c>
      <c r="AI335">
        <v>1</v>
      </c>
      <c r="AJ335">
        <v>0</v>
      </c>
      <c r="AK335">
        <v>0</v>
      </c>
      <c r="AL335" t="s">
        <v>54</v>
      </c>
      <c r="AM335" t="s">
        <v>275</v>
      </c>
      <c r="AN335">
        <v>-4.4900000000000002E-2</v>
      </c>
      <c r="AO335">
        <v>9.2999999999999999E-2</v>
      </c>
      <c r="AP335">
        <v>314.245</v>
      </c>
      <c r="AQ335">
        <v>0.95</v>
      </c>
      <c r="AR335">
        <v>1716</v>
      </c>
      <c r="AS335">
        <v>6998.7750560000004</v>
      </c>
    </row>
    <row r="336" spans="1:45" x14ac:dyDescent="0.2">
      <c r="A336" t="s">
        <v>691</v>
      </c>
      <c r="B336" t="s">
        <v>617</v>
      </c>
      <c r="C336" t="s">
        <v>169</v>
      </c>
      <c r="D336" t="s">
        <v>689</v>
      </c>
      <c r="E336">
        <v>33.651516379999997</v>
      </c>
      <c r="F336">
        <v>-117.88107100000001</v>
      </c>
      <c r="G336" s="1">
        <v>41437</v>
      </c>
      <c r="H336" t="s">
        <v>690</v>
      </c>
      <c r="I336">
        <v>4.8027397260000004</v>
      </c>
      <c r="J336">
        <v>3.5277281939999998</v>
      </c>
      <c r="K336">
        <v>2.5681218110000001</v>
      </c>
      <c r="L336">
        <v>0.82164974400000002</v>
      </c>
      <c r="M336">
        <f t="shared" si="5"/>
        <v>0.95960638299999967</v>
      </c>
      <c r="N336">
        <v>2.2200000000000002</v>
      </c>
      <c r="O336">
        <v>4.41</v>
      </c>
      <c r="P336">
        <v>0.59</v>
      </c>
      <c r="Q336">
        <v>1.37</v>
      </c>
      <c r="R336">
        <v>0.23</v>
      </c>
      <c r="S336">
        <v>0.8</v>
      </c>
      <c r="T336">
        <v>1.1399999999999999</v>
      </c>
      <c r="U336">
        <v>1.5287999999999999</v>
      </c>
      <c r="V336">
        <v>-0.13929824599999999</v>
      </c>
      <c r="W336">
        <v>-59.408812060000002</v>
      </c>
      <c r="X336">
        <v>75.288812059999998</v>
      </c>
      <c r="Y336">
        <v>77.591187939999998</v>
      </c>
      <c r="Z336">
        <v>1.841878189</v>
      </c>
      <c r="AA336" t="s">
        <v>68</v>
      </c>
      <c r="AB336">
        <v>0.5</v>
      </c>
      <c r="AC336">
        <v>19.39</v>
      </c>
      <c r="AD336">
        <v>269.74799999999999</v>
      </c>
      <c r="AE336">
        <v>2.1677181920000002</v>
      </c>
      <c r="AF336">
        <v>0.62276059699999997</v>
      </c>
      <c r="AG336" t="s">
        <v>621</v>
      </c>
      <c r="AH336">
        <v>0</v>
      </c>
      <c r="AI336">
        <v>1</v>
      </c>
      <c r="AJ336">
        <v>0</v>
      </c>
      <c r="AK336">
        <v>0</v>
      </c>
      <c r="AL336" t="s">
        <v>54</v>
      </c>
      <c r="AM336" t="s">
        <v>275</v>
      </c>
      <c r="AN336">
        <v>-0.32619999999999999</v>
      </c>
      <c r="AO336">
        <v>0.97</v>
      </c>
      <c r="AP336">
        <v>279.83499999999998</v>
      </c>
      <c r="AQ336">
        <v>0.95</v>
      </c>
      <c r="AR336">
        <v>1000</v>
      </c>
      <c r="AS336">
        <v>857.86327410000001</v>
      </c>
    </row>
    <row r="337" spans="1:45" x14ac:dyDescent="0.2">
      <c r="A337" t="s">
        <v>692</v>
      </c>
      <c r="B337" t="s">
        <v>617</v>
      </c>
      <c r="C337" t="s">
        <v>169</v>
      </c>
      <c r="D337" t="s">
        <v>689</v>
      </c>
      <c r="E337">
        <v>33.648025760000003</v>
      </c>
      <c r="F337">
        <v>-117.88489610000001</v>
      </c>
      <c r="G337" s="1">
        <v>41437</v>
      </c>
      <c r="H337" t="s">
        <v>690</v>
      </c>
      <c r="I337">
        <v>4.8027397260000004</v>
      </c>
      <c r="J337">
        <v>6.0432446820000001</v>
      </c>
      <c r="K337">
        <v>3.556990855</v>
      </c>
      <c r="L337">
        <v>0.77341086100000001</v>
      </c>
      <c r="M337">
        <f t="shared" si="5"/>
        <v>2.4862538270000001</v>
      </c>
      <c r="N337">
        <v>2.2200000000000002</v>
      </c>
      <c r="O337">
        <v>4.41</v>
      </c>
      <c r="P337">
        <v>0.59</v>
      </c>
      <c r="Q337">
        <v>1.37</v>
      </c>
      <c r="R337">
        <v>0.23</v>
      </c>
      <c r="S337">
        <v>0.8</v>
      </c>
      <c r="T337">
        <v>1.1399999999999999</v>
      </c>
      <c r="U337">
        <v>1.32606</v>
      </c>
      <c r="V337">
        <v>3.8543859999999999E-2</v>
      </c>
      <c r="W337">
        <v>-59.408812060000002</v>
      </c>
      <c r="X337">
        <v>55.014812059999997</v>
      </c>
      <c r="Y337">
        <v>77.591187939999998</v>
      </c>
      <c r="Z337">
        <v>0.85300914500000002</v>
      </c>
      <c r="AA337" t="s">
        <v>68</v>
      </c>
      <c r="AB337">
        <v>0.5</v>
      </c>
      <c r="AC337">
        <v>19.39</v>
      </c>
      <c r="AD337">
        <v>269.74799999999999</v>
      </c>
      <c r="AE337">
        <v>2.1677181920000002</v>
      </c>
      <c r="AF337">
        <v>0.62276059699999997</v>
      </c>
      <c r="AG337" t="s">
        <v>686</v>
      </c>
      <c r="AH337">
        <v>1</v>
      </c>
      <c r="AI337">
        <v>0</v>
      </c>
      <c r="AJ337">
        <v>0</v>
      </c>
      <c r="AK337">
        <v>0</v>
      </c>
      <c r="AL337" t="s">
        <v>155</v>
      </c>
      <c r="AM337" t="s">
        <v>275</v>
      </c>
      <c r="AN337">
        <v>-0.29260000000000003</v>
      </c>
      <c r="AO337">
        <v>0.71</v>
      </c>
      <c r="AP337">
        <v>16.577500000000001</v>
      </c>
      <c r="AQ337">
        <v>0.95</v>
      </c>
      <c r="AR337">
        <v>1000</v>
      </c>
      <c r="AS337">
        <v>56.655844160000001</v>
      </c>
    </row>
    <row r="338" spans="1:45" x14ac:dyDescent="0.2">
      <c r="A338" t="s">
        <v>693</v>
      </c>
      <c r="B338" t="s">
        <v>617</v>
      </c>
      <c r="C338" t="s">
        <v>169</v>
      </c>
      <c r="D338" t="s">
        <v>689</v>
      </c>
      <c r="E338">
        <v>33.648251219999999</v>
      </c>
      <c r="F338">
        <v>-117.8848984</v>
      </c>
      <c r="G338" s="1">
        <v>41437</v>
      </c>
      <c r="H338" t="s">
        <v>690</v>
      </c>
      <c r="I338">
        <v>4.8027397260000004</v>
      </c>
      <c r="J338">
        <v>5.9539821020000003</v>
      </c>
      <c r="K338">
        <v>3.6199920799999998</v>
      </c>
      <c r="L338">
        <v>0.85788129700000004</v>
      </c>
      <c r="M338">
        <f t="shared" si="5"/>
        <v>2.3339900220000005</v>
      </c>
      <c r="N338">
        <v>2.2200000000000002</v>
      </c>
      <c r="O338">
        <v>4.41</v>
      </c>
      <c r="P338">
        <v>0.59</v>
      </c>
      <c r="Q338">
        <v>1.37</v>
      </c>
      <c r="R338">
        <v>0.23</v>
      </c>
      <c r="S338">
        <v>0.8</v>
      </c>
      <c r="T338">
        <v>1.1399999999999999</v>
      </c>
      <c r="U338">
        <v>1.3805000000000001</v>
      </c>
      <c r="V338">
        <v>-9.2105260000000001E-3</v>
      </c>
      <c r="W338">
        <v>-59.408812060000002</v>
      </c>
      <c r="X338">
        <v>60.45881206</v>
      </c>
      <c r="Y338">
        <v>77.591187939999998</v>
      </c>
      <c r="Z338">
        <v>0.79000791999999997</v>
      </c>
      <c r="AA338" t="s">
        <v>68</v>
      </c>
      <c r="AB338">
        <v>0.5</v>
      </c>
      <c r="AC338">
        <v>19.39</v>
      </c>
      <c r="AD338">
        <v>269.74799999999999</v>
      </c>
      <c r="AE338">
        <v>2.1677181920000002</v>
      </c>
      <c r="AF338">
        <v>0.62276059699999997</v>
      </c>
      <c r="AG338" t="s">
        <v>686</v>
      </c>
      <c r="AH338">
        <v>1</v>
      </c>
      <c r="AI338">
        <v>0</v>
      </c>
      <c r="AJ338">
        <v>0</v>
      </c>
      <c r="AK338">
        <v>0</v>
      </c>
      <c r="AL338" t="s">
        <v>155</v>
      </c>
      <c r="AM338" t="s">
        <v>275</v>
      </c>
      <c r="AN338">
        <v>-4.3E-3</v>
      </c>
      <c r="AO338">
        <v>2E-3</v>
      </c>
      <c r="AP338">
        <v>18.105</v>
      </c>
      <c r="AQ338">
        <v>0.95</v>
      </c>
      <c r="AR338">
        <v>1000</v>
      </c>
      <c r="AS338">
        <v>4210.4651160000003</v>
      </c>
    </row>
    <row r="339" spans="1:45" x14ac:dyDescent="0.2">
      <c r="A339" t="s">
        <v>694</v>
      </c>
      <c r="B339" t="s">
        <v>617</v>
      </c>
      <c r="C339" t="s">
        <v>169</v>
      </c>
      <c r="D339" t="s">
        <v>695</v>
      </c>
      <c r="E339">
        <v>34.104174919999998</v>
      </c>
      <c r="F339">
        <v>-119.0863793</v>
      </c>
      <c r="G339" t="s">
        <v>696</v>
      </c>
      <c r="H339" t="s">
        <v>697</v>
      </c>
      <c r="I339">
        <v>6.3424657529999999</v>
      </c>
      <c r="J339">
        <v>0.99516981299999996</v>
      </c>
      <c r="K339">
        <v>0.80028723800000001</v>
      </c>
      <c r="L339">
        <v>0.82975089499999999</v>
      </c>
      <c r="M339">
        <f t="shared" si="5"/>
        <v>0.19488257499999995</v>
      </c>
      <c r="N339">
        <v>1.86</v>
      </c>
      <c r="O339">
        <v>1.9E-2</v>
      </c>
      <c r="P339">
        <v>0.66</v>
      </c>
      <c r="Q339">
        <v>1.37</v>
      </c>
      <c r="R339">
        <v>0.22</v>
      </c>
      <c r="S339">
        <v>0.8</v>
      </c>
      <c r="T339">
        <v>1.1499999999999999</v>
      </c>
      <c r="U339">
        <v>1.546405</v>
      </c>
      <c r="V339">
        <v>-0.15339565199999999</v>
      </c>
      <c r="W339">
        <v>-59.819327260000001</v>
      </c>
      <c r="X339">
        <v>77.459827259999997</v>
      </c>
      <c r="Y339">
        <v>77.180672740000006</v>
      </c>
      <c r="Z339">
        <v>-0.78128723799999999</v>
      </c>
      <c r="AA339" t="s">
        <v>68</v>
      </c>
      <c r="AB339">
        <v>0.99</v>
      </c>
      <c r="AC339">
        <v>19.05</v>
      </c>
      <c r="AD339">
        <v>322.32600000000002</v>
      </c>
      <c r="AE339">
        <v>1.233052467</v>
      </c>
      <c r="AF339">
        <v>1.0285385659999999</v>
      </c>
      <c r="AG339" t="s">
        <v>621</v>
      </c>
      <c r="AH339">
        <v>0</v>
      </c>
      <c r="AI339">
        <v>1</v>
      </c>
      <c r="AJ339">
        <v>0</v>
      </c>
      <c r="AK339">
        <v>0</v>
      </c>
      <c r="AL339" t="s">
        <v>54</v>
      </c>
      <c r="AM339" t="s">
        <v>275</v>
      </c>
      <c r="AN339">
        <v>0.20300000000000001</v>
      </c>
      <c r="AO339">
        <v>0.54</v>
      </c>
      <c r="AP339">
        <v>285.31</v>
      </c>
      <c r="AQ339">
        <v>0.12</v>
      </c>
      <c r="AR339">
        <v>731</v>
      </c>
      <c r="AS339">
        <v>1000</v>
      </c>
    </row>
    <row r="340" spans="1:45" x14ac:dyDescent="0.2">
      <c r="A340" t="s">
        <v>698</v>
      </c>
      <c r="B340" t="s">
        <v>617</v>
      </c>
      <c r="C340" t="s">
        <v>169</v>
      </c>
      <c r="D340" t="s">
        <v>695</v>
      </c>
      <c r="E340">
        <v>34.103697060000002</v>
      </c>
      <c r="F340">
        <v>-119.0863784</v>
      </c>
      <c r="G340" t="s">
        <v>696</v>
      </c>
      <c r="H340" t="s">
        <v>697</v>
      </c>
      <c r="I340">
        <v>6.3424657529999999</v>
      </c>
      <c r="J340">
        <v>1.876503917</v>
      </c>
      <c r="K340">
        <v>1.103479544</v>
      </c>
      <c r="L340">
        <v>0.78442130600000004</v>
      </c>
      <c r="M340">
        <f t="shared" si="5"/>
        <v>0.77302437299999993</v>
      </c>
      <c r="N340">
        <v>1.86</v>
      </c>
      <c r="O340">
        <v>1.9E-2</v>
      </c>
      <c r="P340">
        <v>0.66</v>
      </c>
      <c r="Q340">
        <v>1.37</v>
      </c>
      <c r="R340">
        <v>0.22</v>
      </c>
      <c r="S340">
        <v>0.8</v>
      </c>
      <c r="T340">
        <v>1.1499999999999999</v>
      </c>
      <c r="U340">
        <v>1.5354000000000001</v>
      </c>
      <c r="V340">
        <v>-0.14382608699999999</v>
      </c>
      <c r="W340">
        <v>-59.819327260000001</v>
      </c>
      <c r="X340">
        <v>76.359327260000001</v>
      </c>
      <c r="Y340">
        <v>77.180672740000006</v>
      </c>
      <c r="Z340">
        <v>-1.0844795439999999</v>
      </c>
      <c r="AA340" t="s">
        <v>68</v>
      </c>
      <c r="AB340">
        <v>0.99</v>
      </c>
      <c r="AC340">
        <v>19.05</v>
      </c>
      <c r="AD340">
        <v>322.32600000000002</v>
      </c>
      <c r="AE340">
        <v>1.233052467</v>
      </c>
      <c r="AF340">
        <v>1.0285385659999999</v>
      </c>
      <c r="AG340" t="s">
        <v>621</v>
      </c>
      <c r="AH340">
        <v>0</v>
      </c>
      <c r="AI340">
        <v>1</v>
      </c>
      <c r="AJ340">
        <v>0</v>
      </c>
      <c r="AK340">
        <v>0</v>
      </c>
      <c r="AL340" t="s">
        <v>54</v>
      </c>
      <c r="AM340" t="s">
        <v>275</v>
      </c>
      <c r="AN340">
        <v>-3.6799999999999999E-2</v>
      </c>
      <c r="AO340">
        <v>0.26100000000000001</v>
      </c>
      <c r="AP340">
        <v>57.664999999999999</v>
      </c>
      <c r="AQ340">
        <v>0.12</v>
      </c>
      <c r="AR340">
        <v>1009</v>
      </c>
      <c r="AS340">
        <v>1566.983696</v>
      </c>
    </row>
    <row r="341" spans="1:45" x14ac:dyDescent="0.2">
      <c r="A341" t="s">
        <v>699</v>
      </c>
      <c r="B341" t="s">
        <v>617</v>
      </c>
      <c r="C341" t="s">
        <v>169</v>
      </c>
      <c r="D341" t="s">
        <v>695</v>
      </c>
      <c r="E341">
        <v>34.101327759999997</v>
      </c>
      <c r="F341">
        <v>-119.0883796</v>
      </c>
      <c r="G341" t="s">
        <v>696</v>
      </c>
      <c r="H341" t="s">
        <v>697</v>
      </c>
      <c r="I341">
        <v>6.3424657529999999</v>
      </c>
      <c r="J341">
        <v>1.053032293</v>
      </c>
      <c r="K341">
        <v>2.0968748310000001</v>
      </c>
      <c r="L341">
        <v>0.92935114100000005</v>
      </c>
      <c r="M341">
        <f t="shared" si="5"/>
        <v>-1.043842538</v>
      </c>
      <c r="N341">
        <v>1.86</v>
      </c>
      <c r="O341">
        <v>1.9E-2</v>
      </c>
      <c r="P341">
        <v>0.66</v>
      </c>
      <c r="Q341">
        <v>1.37</v>
      </c>
      <c r="R341">
        <v>0.22</v>
      </c>
      <c r="S341">
        <v>0.8</v>
      </c>
      <c r="T341">
        <v>1.1499999999999999</v>
      </c>
      <c r="U341">
        <v>1.3951499999999999</v>
      </c>
      <c r="V341">
        <v>-2.1869565000000001E-2</v>
      </c>
      <c r="W341">
        <v>-59.819327260000001</v>
      </c>
      <c r="X341">
        <v>62.334327260000002</v>
      </c>
      <c r="Y341">
        <v>77.180672740000006</v>
      </c>
      <c r="Z341">
        <v>-2.0778748309999999</v>
      </c>
      <c r="AA341" t="s">
        <v>68</v>
      </c>
      <c r="AB341">
        <v>0.99</v>
      </c>
      <c r="AC341">
        <v>19.05</v>
      </c>
      <c r="AD341">
        <v>322.32600000000002</v>
      </c>
      <c r="AE341">
        <v>1.233052467</v>
      </c>
      <c r="AF341">
        <v>1.0285385659999999</v>
      </c>
      <c r="AG341" t="s">
        <v>700</v>
      </c>
      <c r="AH341">
        <v>0</v>
      </c>
      <c r="AI341">
        <v>1</v>
      </c>
      <c r="AJ341">
        <v>0</v>
      </c>
      <c r="AK341">
        <v>0</v>
      </c>
      <c r="AL341" t="s">
        <v>54</v>
      </c>
      <c r="AM341" t="s">
        <v>275</v>
      </c>
      <c r="AN341">
        <v>-0.20860000000000001</v>
      </c>
      <c r="AO341">
        <v>0.86</v>
      </c>
      <c r="AP341">
        <v>24.767499999999998</v>
      </c>
      <c r="AQ341">
        <v>0.12</v>
      </c>
      <c r="AR341">
        <v>1000</v>
      </c>
      <c r="AS341">
        <v>118.732023</v>
      </c>
    </row>
    <row r="342" spans="1:45" x14ac:dyDescent="0.2">
      <c r="A342" t="s">
        <v>701</v>
      </c>
      <c r="B342" t="s">
        <v>617</v>
      </c>
      <c r="C342" t="s">
        <v>169</v>
      </c>
      <c r="D342" t="s">
        <v>695</v>
      </c>
      <c r="E342">
        <v>34.101436479999997</v>
      </c>
      <c r="F342">
        <v>-119.08781860000001</v>
      </c>
      <c r="G342" t="s">
        <v>696</v>
      </c>
      <c r="H342" t="s">
        <v>697</v>
      </c>
      <c r="I342">
        <v>6.3424657529999999</v>
      </c>
      <c r="J342">
        <v>3.7901949560000001</v>
      </c>
      <c r="K342">
        <v>2.9832695629999999</v>
      </c>
      <c r="L342">
        <v>0.94864924900000003</v>
      </c>
      <c r="M342">
        <f t="shared" si="5"/>
        <v>0.80692539300000021</v>
      </c>
      <c r="N342">
        <v>1.86</v>
      </c>
      <c r="O342">
        <v>1.9E-2</v>
      </c>
      <c r="P342">
        <v>0.56000000000000005</v>
      </c>
      <c r="Q342">
        <v>1.37</v>
      </c>
      <c r="R342">
        <v>0.22</v>
      </c>
      <c r="S342">
        <v>0.8</v>
      </c>
      <c r="T342">
        <v>1.1499999999999999</v>
      </c>
      <c r="U342">
        <v>1.3498000000000001</v>
      </c>
      <c r="V342">
        <v>1.7565217000000001E-2</v>
      </c>
      <c r="W342">
        <v>-59.819327260000001</v>
      </c>
      <c r="X342">
        <v>57.799327259999998</v>
      </c>
      <c r="Y342">
        <v>77.180672740000006</v>
      </c>
      <c r="Z342">
        <v>-2.9642695630000002</v>
      </c>
      <c r="AA342" t="s">
        <v>68</v>
      </c>
      <c r="AB342">
        <v>0.99</v>
      </c>
      <c r="AC342">
        <v>19.05</v>
      </c>
      <c r="AD342">
        <v>322.32600000000002</v>
      </c>
      <c r="AE342">
        <v>1.233052467</v>
      </c>
      <c r="AF342">
        <v>1.0285385659999999</v>
      </c>
      <c r="AG342" t="s">
        <v>700</v>
      </c>
      <c r="AH342">
        <v>0</v>
      </c>
      <c r="AI342">
        <v>1</v>
      </c>
      <c r="AJ342">
        <v>0</v>
      </c>
      <c r="AK342">
        <v>0</v>
      </c>
      <c r="AL342" t="s">
        <v>54</v>
      </c>
      <c r="AM342" t="s">
        <v>275</v>
      </c>
      <c r="AN342">
        <v>-8.5000000000000006E-2</v>
      </c>
      <c r="AO342">
        <v>0.82</v>
      </c>
      <c r="AP342">
        <v>30.702500000000001</v>
      </c>
      <c r="AQ342">
        <v>0.12</v>
      </c>
      <c r="AR342">
        <v>1000</v>
      </c>
      <c r="AS342">
        <v>361.20588240000001</v>
      </c>
    </row>
    <row r="343" spans="1:45" x14ac:dyDescent="0.2">
      <c r="A343" t="s">
        <v>702</v>
      </c>
      <c r="B343" t="s">
        <v>617</v>
      </c>
      <c r="C343" t="s">
        <v>169</v>
      </c>
      <c r="D343" t="s">
        <v>703</v>
      </c>
      <c r="E343">
        <v>33.734990170000003</v>
      </c>
      <c r="F343">
        <v>-118.0835665</v>
      </c>
      <c r="G343" t="s">
        <v>704</v>
      </c>
      <c r="H343" t="s">
        <v>705</v>
      </c>
      <c r="I343">
        <v>4.0027397259999997</v>
      </c>
      <c r="J343">
        <v>4.2328159940000001</v>
      </c>
      <c r="K343">
        <v>0.39883274600000002</v>
      </c>
      <c r="L343">
        <v>4.0867272000000003E-2</v>
      </c>
      <c r="M343">
        <f t="shared" si="5"/>
        <v>3.833983248</v>
      </c>
      <c r="N343">
        <v>1.83</v>
      </c>
      <c r="O343">
        <v>3.3780000000000001</v>
      </c>
      <c r="P343">
        <v>0.56000000000000005</v>
      </c>
      <c r="Q343">
        <v>1.3859999999999999</v>
      </c>
      <c r="R343">
        <v>0.224</v>
      </c>
      <c r="S343">
        <v>0.79900000000000004</v>
      </c>
      <c r="T343">
        <v>1.1619999999999999</v>
      </c>
      <c r="U343">
        <v>1.401666667</v>
      </c>
      <c r="V343">
        <v>-1.3482502E-2</v>
      </c>
      <c r="W343">
        <v>-60.30725924</v>
      </c>
      <c r="X343">
        <v>61.873925939999999</v>
      </c>
      <c r="Y343">
        <v>78.292740760000001</v>
      </c>
      <c r="Z343">
        <v>2.979167254</v>
      </c>
      <c r="AA343" t="s">
        <v>68</v>
      </c>
      <c r="AB343" t="s">
        <v>68</v>
      </c>
      <c r="AC343">
        <v>24</v>
      </c>
      <c r="AD343">
        <v>325.62799999999999</v>
      </c>
      <c r="AE343">
        <v>2.4463066659999999</v>
      </c>
      <c r="AF343">
        <v>0.90383550300000004</v>
      </c>
      <c r="AG343" t="s">
        <v>686</v>
      </c>
      <c r="AH343">
        <v>1</v>
      </c>
      <c r="AI343">
        <v>0</v>
      </c>
      <c r="AJ343">
        <v>0</v>
      </c>
      <c r="AK343">
        <v>0</v>
      </c>
      <c r="AL343" t="s">
        <v>155</v>
      </c>
      <c r="AM343" t="s">
        <v>275</v>
      </c>
      <c r="AN343">
        <v>-7.1900000000000006E-2</v>
      </c>
      <c r="AO343">
        <v>0.63</v>
      </c>
      <c r="AP343">
        <v>10.897500000000001</v>
      </c>
      <c r="AQ343">
        <v>0.37</v>
      </c>
      <c r="AR343">
        <v>432</v>
      </c>
      <c r="AS343">
        <v>151.56467319999999</v>
      </c>
    </row>
    <row r="344" spans="1:45" x14ac:dyDescent="0.2">
      <c r="A344" t="s">
        <v>706</v>
      </c>
      <c r="B344" t="s">
        <v>617</v>
      </c>
      <c r="C344" t="s">
        <v>169</v>
      </c>
      <c r="D344" t="s">
        <v>703</v>
      </c>
      <c r="E344">
        <v>33.735154860000002</v>
      </c>
      <c r="F344">
        <v>-118.0832987</v>
      </c>
      <c r="G344" t="s">
        <v>704</v>
      </c>
      <c r="H344" t="s">
        <v>705</v>
      </c>
      <c r="I344">
        <v>4.0027397259999997</v>
      </c>
      <c r="J344">
        <v>3.8623138789999998</v>
      </c>
      <c r="K344">
        <v>1.597175351</v>
      </c>
      <c r="L344">
        <v>0.56554811900000002</v>
      </c>
      <c r="M344">
        <f t="shared" si="5"/>
        <v>2.2651385279999996</v>
      </c>
      <c r="N344">
        <v>1.83</v>
      </c>
      <c r="O344">
        <v>3.3780000000000001</v>
      </c>
      <c r="P344">
        <v>0.56000000000000005</v>
      </c>
      <c r="Q344">
        <v>1.3859999999999999</v>
      </c>
      <c r="R344">
        <v>0.224</v>
      </c>
      <c r="S344">
        <v>0.79900000000000004</v>
      </c>
      <c r="T344">
        <v>1.1619999999999999</v>
      </c>
      <c r="U344">
        <v>1.3732333329999999</v>
      </c>
      <c r="V344">
        <v>1.0986805000000001E-2</v>
      </c>
      <c r="W344">
        <v>-60.30725924</v>
      </c>
      <c r="X344">
        <v>59.030592540000001</v>
      </c>
      <c r="Y344">
        <v>78.292740760000001</v>
      </c>
      <c r="Z344">
        <v>1.7808246489999999</v>
      </c>
      <c r="AA344" t="s">
        <v>68</v>
      </c>
      <c r="AB344" t="s">
        <v>68</v>
      </c>
      <c r="AC344">
        <v>24</v>
      </c>
      <c r="AD344">
        <v>325.62799999999999</v>
      </c>
      <c r="AE344">
        <v>2.089601815</v>
      </c>
      <c r="AF344">
        <v>0.768622201</v>
      </c>
      <c r="AG344" t="s">
        <v>686</v>
      </c>
      <c r="AH344">
        <v>1</v>
      </c>
      <c r="AI344">
        <v>0</v>
      </c>
      <c r="AJ344">
        <v>0</v>
      </c>
      <c r="AK344">
        <v>0</v>
      </c>
      <c r="AL344" t="s">
        <v>155</v>
      </c>
      <c r="AM344" t="s">
        <v>275</v>
      </c>
      <c r="AN344">
        <v>-0.28349999999999997</v>
      </c>
      <c r="AO344">
        <v>0.93</v>
      </c>
      <c r="AP344">
        <v>10.4925</v>
      </c>
      <c r="AQ344">
        <v>0.37</v>
      </c>
      <c r="AR344">
        <v>2535</v>
      </c>
      <c r="AS344">
        <v>37.01058201</v>
      </c>
    </row>
    <row r="345" spans="1:45" x14ac:dyDescent="0.2">
      <c r="A345" t="s">
        <v>707</v>
      </c>
      <c r="B345" t="s">
        <v>617</v>
      </c>
      <c r="C345" t="s">
        <v>169</v>
      </c>
      <c r="D345" t="s">
        <v>703</v>
      </c>
      <c r="E345">
        <v>33.735302359999999</v>
      </c>
      <c r="F345">
        <v>-118.0829336</v>
      </c>
      <c r="G345" t="s">
        <v>704</v>
      </c>
      <c r="H345" t="s">
        <v>705</v>
      </c>
      <c r="I345">
        <v>4.0027397259999997</v>
      </c>
      <c r="J345">
        <v>3.505231422</v>
      </c>
      <c r="K345">
        <v>2.0187506929999999</v>
      </c>
      <c r="L345">
        <v>0.55825804899999998</v>
      </c>
      <c r="M345">
        <f t="shared" si="5"/>
        <v>1.4864807290000002</v>
      </c>
      <c r="N345">
        <v>1.83</v>
      </c>
      <c r="O345">
        <v>3.3780000000000001</v>
      </c>
      <c r="P345">
        <v>0.56000000000000005</v>
      </c>
      <c r="Q345">
        <v>1.3859999999999999</v>
      </c>
      <c r="R345">
        <v>0.224</v>
      </c>
      <c r="S345">
        <v>0.79900000000000004</v>
      </c>
      <c r="T345">
        <v>1.1619999999999999</v>
      </c>
      <c r="U345">
        <v>1.340866667</v>
      </c>
      <c r="V345">
        <v>3.8841078000000001E-2</v>
      </c>
      <c r="W345">
        <v>-60.30725924</v>
      </c>
      <c r="X345">
        <v>55.793925940000001</v>
      </c>
      <c r="Y345">
        <v>78.292740760000001</v>
      </c>
      <c r="Z345">
        <v>1.359249307</v>
      </c>
      <c r="AA345" t="s">
        <v>68</v>
      </c>
      <c r="AB345" t="s">
        <v>68</v>
      </c>
      <c r="AC345">
        <v>24</v>
      </c>
      <c r="AD345">
        <v>325.62799999999999</v>
      </c>
      <c r="AE345">
        <v>2.089601815</v>
      </c>
      <c r="AF345">
        <v>0.768622201</v>
      </c>
      <c r="AG345" t="s">
        <v>686</v>
      </c>
      <c r="AH345">
        <v>1</v>
      </c>
      <c r="AI345">
        <v>0</v>
      </c>
      <c r="AJ345">
        <v>0</v>
      </c>
      <c r="AK345">
        <v>0</v>
      </c>
      <c r="AL345" t="s">
        <v>155</v>
      </c>
      <c r="AM345" t="s">
        <v>275</v>
      </c>
      <c r="AN345">
        <v>-0.121</v>
      </c>
      <c r="AO345">
        <v>0.52</v>
      </c>
      <c r="AP345">
        <v>20.662500000000001</v>
      </c>
      <c r="AQ345">
        <v>0.37</v>
      </c>
      <c r="AR345">
        <v>1000</v>
      </c>
      <c r="AS345">
        <v>170.76446279999999</v>
      </c>
    </row>
    <row r="346" spans="1:45" x14ac:dyDescent="0.2">
      <c r="A346" t="s">
        <v>708</v>
      </c>
      <c r="B346" t="s">
        <v>617</v>
      </c>
      <c r="C346" t="s">
        <v>169</v>
      </c>
      <c r="D346" t="s">
        <v>703</v>
      </c>
      <c r="E346">
        <v>33.735061160000001</v>
      </c>
      <c r="F346">
        <v>-118.0826715</v>
      </c>
      <c r="G346" t="s">
        <v>704</v>
      </c>
      <c r="H346" t="s">
        <v>705</v>
      </c>
      <c r="I346">
        <v>4.0027397259999997</v>
      </c>
      <c r="J346">
        <v>2.8422519820000001</v>
      </c>
      <c r="K346">
        <v>1.087559377</v>
      </c>
      <c r="L346">
        <v>0.35085651600000001</v>
      </c>
      <c r="M346">
        <f t="shared" si="5"/>
        <v>1.754692605</v>
      </c>
      <c r="N346">
        <v>1.83</v>
      </c>
      <c r="O346">
        <v>3.3780000000000001</v>
      </c>
      <c r="P346">
        <v>0.56000000000000005</v>
      </c>
      <c r="Q346">
        <v>1.3859999999999999</v>
      </c>
      <c r="R346">
        <v>0.224</v>
      </c>
      <c r="S346">
        <v>0.79900000000000004</v>
      </c>
      <c r="T346">
        <v>1.1619999999999999</v>
      </c>
      <c r="U346">
        <v>1.365166667</v>
      </c>
      <c r="V346">
        <v>1.7928857999999999E-2</v>
      </c>
      <c r="W346">
        <v>-60.30725924</v>
      </c>
      <c r="X346">
        <v>58.223925940000001</v>
      </c>
      <c r="Y346">
        <v>78.292740760000001</v>
      </c>
      <c r="Z346">
        <v>2.2904406229999998</v>
      </c>
      <c r="AA346" t="s">
        <v>68</v>
      </c>
      <c r="AB346" t="s">
        <v>68</v>
      </c>
      <c r="AC346">
        <v>24</v>
      </c>
      <c r="AD346">
        <v>325.62799999999999</v>
      </c>
      <c r="AE346">
        <v>2.089601815</v>
      </c>
      <c r="AF346">
        <v>0.768622201</v>
      </c>
      <c r="AG346" t="s">
        <v>686</v>
      </c>
      <c r="AH346">
        <v>1</v>
      </c>
      <c r="AI346">
        <v>0</v>
      </c>
      <c r="AJ346">
        <v>0</v>
      </c>
      <c r="AK346">
        <v>0</v>
      </c>
      <c r="AL346" t="s">
        <v>155</v>
      </c>
      <c r="AM346" t="s">
        <v>275</v>
      </c>
      <c r="AN346">
        <v>-0.126</v>
      </c>
      <c r="AO346">
        <v>0.96</v>
      </c>
      <c r="AP346">
        <v>8.0374999999999996</v>
      </c>
      <c r="AQ346">
        <v>0.37</v>
      </c>
      <c r="AR346">
        <v>784</v>
      </c>
      <c r="AS346">
        <v>63.789682540000001</v>
      </c>
    </row>
    <row r="347" spans="1:45" x14ac:dyDescent="0.2">
      <c r="A347" t="s">
        <v>709</v>
      </c>
      <c r="B347" t="s">
        <v>617</v>
      </c>
      <c r="C347" t="s">
        <v>169</v>
      </c>
      <c r="D347" t="s">
        <v>703</v>
      </c>
      <c r="E347">
        <v>33.73491422</v>
      </c>
      <c r="F347">
        <v>-118.0829719</v>
      </c>
      <c r="G347" t="s">
        <v>704</v>
      </c>
      <c r="H347" t="s">
        <v>705</v>
      </c>
      <c r="I347">
        <v>4.0027397259999997</v>
      </c>
      <c r="J347">
        <v>3.0177601119999999</v>
      </c>
      <c r="K347">
        <v>1.9049571430000001</v>
      </c>
      <c r="L347">
        <v>0.60348990499999999</v>
      </c>
      <c r="M347">
        <f t="shared" si="5"/>
        <v>1.1128029689999999</v>
      </c>
      <c r="N347">
        <v>1.83</v>
      </c>
      <c r="O347">
        <v>3.3780000000000001</v>
      </c>
      <c r="P347">
        <v>0.56000000000000005</v>
      </c>
      <c r="Q347">
        <v>1.3859999999999999</v>
      </c>
      <c r="R347">
        <v>0.224</v>
      </c>
      <c r="S347">
        <v>0.79900000000000004</v>
      </c>
      <c r="T347">
        <v>1.1619999999999999</v>
      </c>
      <c r="U347">
        <v>1.3780333330000001</v>
      </c>
      <c r="V347">
        <v>6.8559959999999996E-3</v>
      </c>
      <c r="W347">
        <v>-60.30725924</v>
      </c>
      <c r="X347">
        <v>59.510592539999998</v>
      </c>
      <c r="Y347">
        <v>78.292740760000001</v>
      </c>
      <c r="Z347">
        <v>1.473042857</v>
      </c>
      <c r="AA347" t="s">
        <v>68</v>
      </c>
      <c r="AB347" t="s">
        <v>68</v>
      </c>
      <c r="AC347">
        <v>24</v>
      </c>
      <c r="AD347">
        <v>325.62799999999999</v>
      </c>
      <c r="AE347">
        <v>2.089601815</v>
      </c>
      <c r="AF347">
        <v>0.768622201</v>
      </c>
      <c r="AG347" t="s">
        <v>686</v>
      </c>
      <c r="AH347">
        <v>1</v>
      </c>
      <c r="AI347">
        <v>0</v>
      </c>
      <c r="AJ347">
        <v>0</v>
      </c>
      <c r="AK347">
        <v>0</v>
      </c>
      <c r="AL347" t="s">
        <v>155</v>
      </c>
      <c r="AM347" t="s">
        <v>275</v>
      </c>
      <c r="AN347">
        <v>-7.9399999999999998E-2</v>
      </c>
      <c r="AO347">
        <v>0.88</v>
      </c>
      <c r="AP347">
        <v>10.154999999999999</v>
      </c>
      <c r="AQ347">
        <v>0.37</v>
      </c>
      <c r="AR347">
        <v>1000</v>
      </c>
      <c r="AS347">
        <v>127.89672539999999</v>
      </c>
    </row>
    <row r="348" spans="1:45" x14ac:dyDescent="0.2">
      <c r="A348" t="s">
        <v>710</v>
      </c>
      <c r="B348" t="s">
        <v>617</v>
      </c>
      <c r="C348" t="s">
        <v>169</v>
      </c>
      <c r="D348" t="s">
        <v>703</v>
      </c>
      <c r="E348">
        <v>33.734676450000002</v>
      </c>
      <c r="F348">
        <v>-118.08334670000001</v>
      </c>
      <c r="G348" t="s">
        <v>704</v>
      </c>
      <c r="H348" t="s">
        <v>705</v>
      </c>
      <c r="I348">
        <v>4.0027397259999997</v>
      </c>
      <c r="J348">
        <v>3.0802432639999999</v>
      </c>
      <c r="K348">
        <v>1.0822281359999999</v>
      </c>
      <c r="L348">
        <v>0.40344202600000001</v>
      </c>
      <c r="M348">
        <f t="shared" si="5"/>
        <v>1.998015128</v>
      </c>
      <c r="N348">
        <v>1.83</v>
      </c>
      <c r="O348">
        <v>3.3780000000000001</v>
      </c>
      <c r="P348">
        <v>0.56000000000000005</v>
      </c>
      <c r="Q348">
        <v>1.3859999999999999</v>
      </c>
      <c r="R348">
        <v>0.224</v>
      </c>
      <c r="S348">
        <v>0.79900000000000004</v>
      </c>
      <c r="T348">
        <v>1.1619999999999999</v>
      </c>
      <c r="U348">
        <v>1.3753333329999999</v>
      </c>
      <c r="V348">
        <v>9.1795760000000001E-3</v>
      </c>
      <c r="W348">
        <v>-60.30725924</v>
      </c>
      <c r="X348">
        <v>59.240592540000002</v>
      </c>
      <c r="Y348">
        <v>78.292740760000001</v>
      </c>
      <c r="Z348">
        <v>2.2957718640000002</v>
      </c>
      <c r="AA348" t="s">
        <v>68</v>
      </c>
      <c r="AB348" t="s">
        <v>68</v>
      </c>
      <c r="AC348">
        <v>24</v>
      </c>
      <c r="AD348">
        <v>325.62799999999999</v>
      </c>
      <c r="AE348">
        <v>2.4463066659999999</v>
      </c>
      <c r="AF348">
        <v>0.90383550300000004</v>
      </c>
      <c r="AG348" t="s">
        <v>686</v>
      </c>
      <c r="AH348">
        <v>1</v>
      </c>
      <c r="AI348">
        <v>0</v>
      </c>
      <c r="AJ348">
        <v>0</v>
      </c>
      <c r="AK348">
        <v>0</v>
      </c>
      <c r="AL348" t="s">
        <v>155</v>
      </c>
      <c r="AM348" t="s">
        <v>275</v>
      </c>
      <c r="AN348">
        <v>-1.01E-2</v>
      </c>
      <c r="AO348">
        <v>5.7599999999999998E-2</v>
      </c>
      <c r="AP348">
        <v>14.525</v>
      </c>
      <c r="AQ348">
        <v>0.37</v>
      </c>
      <c r="AR348">
        <v>792</v>
      </c>
      <c r="AS348">
        <v>1438.1188119999999</v>
      </c>
    </row>
    <row r="349" spans="1:45" x14ac:dyDescent="0.2">
      <c r="A349" t="s">
        <v>711</v>
      </c>
      <c r="B349" t="s">
        <v>617</v>
      </c>
      <c r="C349" t="s">
        <v>169</v>
      </c>
      <c r="D349" t="s">
        <v>703</v>
      </c>
      <c r="E349">
        <v>33.733568890000001</v>
      </c>
      <c r="F349">
        <v>-118.0676162</v>
      </c>
      <c r="G349" s="1">
        <v>41437</v>
      </c>
      <c r="H349" t="s">
        <v>712</v>
      </c>
      <c r="I349">
        <v>5.7287671229999999</v>
      </c>
      <c r="J349">
        <v>5.3112213480000001</v>
      </c>
      <c r="K349">
        <v>1.310869541</v>
      </c>
      <c r="L349">
        <v>0.62482713700000003</v>
      </c>
      <c r="M349">
        <f t="shared" si="5"/>
        <v>4.0003518070000004</v>
      </c>
      <c r="N349">
        <v>1.83</v>
      </c>
      <c r="O349">
        <v>3.3780000000000001</v>
      </c>
      <c r="P349">
        <v>0.56000000000000005</v>
      </c>
      <c r="Q349">
        <v>1.3859999999999999</v>
      </c>
      <c r="R349">
        <v>0.224</v>
      </c>
      <c r="S349">
        <v>0.79900000000000004</v>
      </c>
      <c r="T349">
        <v>1.1619999999999999</v>
      </c>
      <c r="U349">
        <v>1.4718</v>
      </c>
      <c r="V349">
        <v>-7.3838210000000001E-2</v>
      </c>
      <c r="W349">
        <v>-60.30725924</v>
      </c>
      <c r="X349">
        <v>68.887259240000006</v>
      </c>
      <c r="Y349">
        <v>78.292740760000001</v>
      </c>
      <c r="Z349">
        <v>2.0671304589999999</v>
      </c>
      <c r="AA349" t="s">
        <v>68</v>
      </c>
      <c r="AB349">
        <v>0.54</v>
      </c>
      <c r="AC349">
        <v>24</v>
      </c>
      <c r="AD349">
        <v>325.62799999999999</v>
      </c>
      <c r="AE349">
        <v>2.089601815</v>
      </c>
      <c r="AF349">
        <v>0.768622201</v>
      </c>
      <c r="AG349" t="s">
        <v>670</v>
      </c>
      <c r="AH349">
        <v>0</v>
      </c>
      <c r="AI349">
        <v>1</v>
      </c>
      <c r="AJ349">
        <v>0</v>
      </c>
      <c r="AK349">
        <v>0</v>
      </c>
      <c r="AL349" t="s">
        <v>54</v>
      </c>
      <c r="AM349" t="s">
        <v>275</v>
      </c>
      <c r="AN349">
        <v>-6.6600000000000006E-2</v>
      </c>
      <c r="AO349">
        <v>0.59</v>
      </c>
      <c r="AP349">
        <v>4.41</v>
      </c>
      <c r="AQ349">
        <v>0.37</v>
      </c>
      <c r="AR349">
        <v>1327</v>
      </c>
      <c r="AS349">
        <v>66.216216220000007</v>
      </c>
    </row>
    <row r="350" spans="1:45" x14ac:dyDescent="0.2">
      <c r="A350" t="s">
        <v>713</v>
      </c>
      <c r="B350" t="s">
        <v>617</v>
      </c>
      <c r="C350" t="s">
        <v>169</v>
      </c>
      <c r="D350" t="s">
        <v>703</v>
      </c>
      <c r="E350">
        <v>33.733703409999997</v>
      </c>
      <c r="F350">
        <v>-118.0677043</v>
      </c>
      <c r="G350" s="1">
        <v>41437</v>
      </c>
      <c r="H350" t="s">
        <v>712</v>
      </c>
      <c r="I350">
        <v>5.7287671229999999</v>
      </c>
      <c r="J350">
        <v>5.1555873969999997</v>
      </c>
      <c r="K350">
        <v>2.5731700769999999</v>
      </c>
      <c r="L350">
        <v>0.87208031399999997</v>
      </c>
      <c r="M350">
        <f t="shared" si="5"/>
        <v>2.5824173199999998</v>
      </c>
      <c r="N350">
        <v>1.83</v>
      </c>
      <c r="O350">
        <v>3.3780000000000001</v>
      </c>
      <c r="P350">
        <v>0.56000000000000005</v>
      </c>
      <c r="Q350">
        <v>1.3859999999999999</v>
      </c>
      <c r="R350">
        <v>0.224</v>
      </c>
      <c r="S350">
        <v>0.79900000000000004</v>
      </c>
      <c r="T350">
        <v>1.1619999999999999</v>
      </c>
      <c r="U350">
        <v>1.4648000000000001</v>
      </c>
      <c r="V350">
        <v>-6.7814113999999995E-2</v>
      </c>
      <c r="W350">
        <v>-60.30725924</v>
      </c>
      <c r="X350">
        <v>68.187259240000003</v>
      </c>
      <c r="Y350">
        <v>78.292740760000001</v>
      </c>
      <c r="Z350">
        <v>0.804829923</v>
      </c>
      <c r="AA350" t="s">
        <v>68</v>
      </c>
      <c r="AB350">
        <v>0.54</v>
      </c>
      <c r="AC350">
        <v>24</v>
      </c>
      <c r="AD350">
        <v>325.62799999999999</v>
      </c>
      <c r="AE350">
        <v>2.089601815</v>
      </c>
      <c r="AF350">
        <v>0.768622201</v>
      </c>
      <c r="AG350" t="s">
        <v>670</v>
      </c>
      <c r="AH350">
        <v>0</v>
      </c>
      <c r="AI350">
        <v>1</v>
      </c>
      <c r="AJ350">
        <v>0</v>
      </c>
      <c r="AK350">
        <v>0</v>
      </c>
      <c r="AL350" t="s">
        <v>54</v>
      </c>
      <c r="AM350" t="s">
        <v>275</v>
      </c>
      <c r="AN350">
        <v>-6.2300000000000001E-2</v>
      </c>
      <c r="AO350">
        <v>0.7</v>
      </c>
      <c r="AP350">
        <v>19.4725</v>
      </c>
      <c r="AQ350">
        <v>0.37</v>
      </c>
      <c r="AR350">
        <v>1000</v>
      </c>
      <c r="AS350">
        <v>312.56019259999999</v>
      </c>
    </row>
    <row r="351" spans="1:45" x14ac:dyDescent="0.2">
      <c r="A351" t="s">
        <v>714</v>
      </c>
      <c r="B351" t="s">
        <v>617</v>
      </c>
      <c r="C351" t="s">
        <v>169</v>
      </c>
      <c r="D351" t="s">
        <v>703</v>
      </c>
      <c r="E351">
        <v>33.733130000000003</v>
      </c>
      <c r="F351">
        <v>-118.083</v>
      </c>
      <c r="G351" s="1">
        <v>41437</v>
      </c>
      <c r="H351" t="s">
        <v>712</v>
      </c>
      <c r="I351">
        <v>5.7287671229999999</v>
      </c>
      <c r="J351">
        <v>5.1388811680000002</v>
      </c>
      <c r="K351">
        <v>1.3776051469999999</v>
      </c>
      <c r="L351">
        <v>0.483639667</v>
      </c>
      <c r="M351">
        <f t="shared" si="5"/>
        <v>3.7612760210000005</v>
      </c>
      <c r="N351">
        <v>1.83</v>
      </c>
      <c r="O351">
        <v>3.3780000000000001</v>
      </c>
      <c r="P351">
        <v>0.56000000000000005</v>
      </c>
      <c r="Q351">
        <v>1.3859999999999999</v>
      </c>
      <c r="R351">
        <v>0.224</v>
      </c>
      <c r="S351">
        <v>0.79900000000000004</v>
      </c>
      <c r="T351">
        <v>1.1619999999999999</v>
      </c>
      <c r="U351">
        <v>1.3386</v>
      </c>
      <c r="V351">
        <v>4.0791738000000001E-2</v>
      </c>
      <c r="W351">
        <v>-60.30725924</v>
      </c>
      <c r="X351">
        <v>55.567259239999998</v>
      </c>
      <c r="Y351">
        <v>78.292740760000001</v>
      </c>
      <c r="Z351">
        <v>2.000394853</v>
      </c>
      <c r="AA351" t="s">
        <v>68</v>
      </c>
      <c r="AB351">
        <v>0.54</v>
      </c>
      <c r="AC351">
        <v>24</v>
      </c>
      <c r="AD351">
        <v>325.62799999999999</v>
      </c>
      <c r="AE351">
        <v>2.089601815</v>
      </c>
      <c r="AF351">
        <v>0.768622201</v>
      </c>
      <c r="AG351" t="s">
        <v>715</v>
      </c>
      <c r="AH351">
        <v>1</v>
      </c>
      <c r="AI351">
        <v>1</v>
      </c>
      <c r="AJ351">
        <v>0</v>
      </c>
      <c r="AK351">
        <v>0</v>
      </c>
      <c r="AL351" t="s">
        <v>155</v>
      </c>
      <c r="AM351" t="s">
        <v>275</v>
      </c>
      <c r="AN351">
        <v>0.02</v>
      </c>
      <c r="AO351">
        <v>0.23</v>
      </c>
      <c r="AP351">
        <v>1.58</v>
      </c>
      <c r="AQ351">
        <v>0.37</v>
      </c>
      <c r="AR351">
        <v>1228</v>
      </c>
      <c r="AS351">
        <v>1000</v>
      </c>
    </row>
    <row r="352" spans="1:45" x14ac:dyDescent="0.2">
      <c r="A352" t="s">
        <v>716</v>
      </c>
      <c r="B352" t="s">
        <v>617</v>
      </c>
      <c r="C352" t="s">
        <v>169</v>
      </c>
      <c r="D352" t="s">
        <v>703</v>
      </c>
      <c r="E352">
        <v>33.733340009999999</v>
      </c>
      <c r="F352">
        <v>-118.0825095</v>
      </c>
      <c r="G352" s="1">
        <v>41437</v>
      </c>
      <c r="H352" t="s">
        <v>712</v>
      </c>
      <c r="I352">
        <v>5.7287671229999999</v>
      </c>
      <c r="J352">
        <v>5.0316878809999999</v>
      </c>
      <c r="K352">
        <v>1.4226095620000001</v>
      </c>
      <c r="L352">
        <v>0.46188778200000002</v>
      </c>
      <c r="M352">
        <f t="shared" si="5"/>
        <v>3.609078319</v>
      </c>
      <c r="N352">
        <v>1.83</v>
      </c>
      <c r="O352">
        <v>3.3780000000000001</v>
      </c>
      <c r="P352">
        <v>0.56000000000000005</v>
      </c>
      <c r="Q352">
        <v>1.3859999999999999</v>
      </c>
      <c r="R352">
        <v>0.224</v>
      </c>
      <c r="S352">
        <v>0.79900000000000004</v>
      </c>
      <c r="T352">
        <v>1.1619999999999999</v>
      </c>
      <c r="U352">
        <v>1.3902000000000001</v>
      </c>
      <c r="V352">
        <v>-3.6144580000000001E-3</v>
      </c>
      <c r="W352">
        <v>-60.30725924</v>
      </c>
      <c r="X352">
        <v>60.727259240000002</v>
      </c>
      <c r="Y352">
        <v>78.292740760000001</v>
      </c>
      <c r="Z352">
        <v>1.955390438</v>
      </c>
      <c r="AA352" t="s">
        <v>68</v>
      </c>
      <c r="AB352">
        <v>0.54</v>
      </c>
      <c r="AC352">
        <v>24</v>
      </c>
      <c r="AD352">
        <v>325.62799999999999</v>
      </c>
      <c r="AE352">
        <v>2.089601815</v>
      </c>
      <c r="AF352">
        <v>0.768622201</v>
      </c>
      <c r="AG352" t="s">
        <v>715</v>
      </c>
      <c r="AH352">
        <v>1</v>
      </c>
      <c r="AI352">
        <v>1</v>
      </c>
      <c r="AJ352">
        <v>0</v>
      </c>
      <c r="AK352">
        <v>0</v>
      </c>
      <c r="AL352" t="s">
        <v>155</v>
      </c>
      <c r="AM352" t="s">
        <v>275</v>
      </c>
      <c r="AN352">
        <v>-1.2E-2</v>
      </c>
      <c r="AO352">
        <v>6.0000000000000001E-3</v>
      </c>
      <c r="AP352">
        <v>72</v>
      </c>
      <c r="AQ352">
        <v>0.37</v>
      </c>
      <c r="AR352">
        <v>1491</v>
      </c>
      <c r="AS352">
        <v>6000</v>
      </c>
    </row>
    <row r="353" spans="1:45" x14ac:dyDescent="0.2">
      <c r="A353" t="s">
        <v>717</v>
      </c>
      <c r="B353" t="s">
        <v>617</v>
      </c>
      <c r="C353" t="s">
        <v>169</v>
      </c>
      <c r="D353" t="s">
        <v>718</v>
      </c>
      <c r="E353">
        <v>32.574446999999999</v>
      </c>
      <c r="F353">
        <v>-117.1283377</v>
      </c>
      <c r="G353" s="1">
        <v>41099</v>
      </c>
      <c r="H353" s="1">
        <v>43231</v>
      </c>
      <c r="I353">
        <v>6.1643835620000003</v>
      </c>
      <c r="J353" t="s">
        <v>68</v>
      </c>
      <c r="K353">
        <v>-0.27627305499999999</v>
      </c>
      <c r="L353">
        <v>0.2390545</v>
      </c>
      <c r="M353" t="s">
        <v>68</v>
      </c>
      <c r="N353">
        <v>2.78</v>
      </c>
      <c r="O353">
        <v>9.5500000000000007</v>
      </c>
      <c r="P353">
        <v>0.56000000000000005</v>
      </c>
      <c r="Q353">
        <v>1.34</v>
      </c>
      <c r="R353">
        <v>0.2</v>
      </c>
      <c r="S353">
        <v>0.77</v>
      </c>
      <c r="T353">
        <v>1.1399999999999999</v>
      </c>
      <c r="U353">
        <v>1.728</v>
      </c>
      <c r="V353">
        <v>-0.340350877</v>
      </c>
      <c r="W353">
        <v>-59.408812060000002</v>
      </c>
      <c r="X353">
        <v>98.20881206</v>
      </c>
      <c r="Y353">
        <v>74.591187939999998</v>
      </c>
      <c r="Z353">
        <v>9.8262730549999997</v>
      </c>
      <c r="AA353" t="s">
        <v>68</v>
      </c>
      <c r="AB353">
        <v>0.47</v>
      </c>
      <c r="AC353">
        <v>20.94</v>
      </c>
      <c r="AD353">
        <v>266.95400000000001</v>
      </c>
      <c r="AE353">
        <v>1.5845373119999999</v>
      </c>
      <c r="AF353">
        <v>0.75872676900000002</v>
      </c>
      <c r="AG353" t="s">
        <v>68</v>
      </c>
      <c r="AH353">
        <v>0</v>
      </c>
      <c r="AI353">
        <v>0</v>
      </c>
      <c r="AJ353">
        <v>0</v>
      </c>
      <c r="AK353">
        <v>0</v>
      </c>
      <c r="AL353" t="s">
        <v>68</v>
      </c>
      <c r="AM353" t="s">
        <v>275</v>
      </c>
      <c r="AN353">
        <v>-1.84E-2</v>
      </c>
      <c r="AO353">
        <v>0.1132</v>
      </c>
      <c r="AP353">
        <v>241.41499999999999</v>
      </c>
      <c r="AQ353">
        <v>8.8999999999999996E-2</v>
      </c>
      <c r="AR353">
        <v>321</v>
      </c>
      <c r="AS353">
        <v>13120.380429999999</v>
      </c>
    </row>
    <row r="354" spans="1:45" x14ac:dyDescent="0.2">
      <c r="A354" t="s">
        <v>719</v>
      </c>
      <c r="B354" t="s">
        <v>617</v>
      </c>
      <c r="C354" t="s">
        <v>169</v>
      </c>
      <c r="D354" t="s">
        <v>718</v>
      </c>
      <c r="E354">
        <v>32.574725999999998</v>
      </c>
      <c r="F354">
        <v>-117.1286151</v>
      </c>
      <c r="G354" s="1">
        <v>41099</v>
      </c>
      <c r="H354" s="1">
        <v>43231</v>
      </c>
      <c r="I354">
        <v>6.1643835620000003</v>
      </c>
      <c r="J354" t="s">
        <v>68</v>
      </c>
      <c r="K354">
        <v>-0.14409311299999999</v>
      </c>
      <c r="L354">
        <v>6.0377347999999997E-2</v>
      </c>
      <c r="M354" t="s">
        <v>68</v>
      </c>
      <c r="N354">
        <v>2.78</v>
      </c>
      <c r="O354">
        <v>9.5500000000000007</v>
      </c>
      <c r="P354">
        <v>0.56000000000000005</v>
      </c>
      <c r="Q354">
        <v>1.34</v>
      </c>
      <c r="R354">
        <v>0.2</v>
      </c>
      <c r="S354">
        <v>0.77</v>
      </c>
      <c r="T354">
        <v>1.1399999999999999</v>
      </c>
      <c r="U354">
        <v>1.6247</v>
      </c>
      <c r="V354">
        <v>-0.24973684199999999</v>
      </c>
      <c r="W354">
        <v>-59.408812060000002</v>
      </c>
      <c r="X354">
        <v>87.878812060000001</v>
      </c>
      <c r="Y354">
        <v>74.591187939999998</v>
      </c>
      <c r="Z354">
        <v>9.6940931129999992</v>
      </c>
      <c r="AA354" t="s">
        <v>68</v>
      </c>
      <c r="AB354">
        <v>0.47</v>
      </c>
      <c r="AC354">
        <v>20.94</v>
      </c>
      <c r="AD354">
        <v>266.95400000000001</v>
      </c>
      <c r="AE354">
        <v>1.5845373119999999</v>
      </c>
      <c r="AF354">
        <v>0.75872676900000002</v>
      </c>
      <c r="AG354" t="s">
        <v>68</v>
      </c>
      <c r="AH354">
        <v>0</v>
      </c>
      <c r="AI354">
        <v>0</v>
      </c>
      <c r="AJ354">
        <v>0</v>
      </c>
      <c r="AK354">
        <v>0</v>
      </c>
      <c r="AL354" t="s">
        <v>68</v>
      </c>
      <c r="AM354" t="s">
        <v>275</v>
      </c>
      <c r="AN354">
        <v>-0.39729999999999999</v>
      </c>
      <c r="AO354">
        <v>0.95</v>
      </c>
      <c r="AP354">
        <v>205.22749999999999</v>
      </c>
      <c r="AQ354">
        <v>8.8999999999999996E-2</v>
      </c>
      <c r="AR354">
        <v>301</v>
      </c>
      <c r="AS354">
        <v>516.55549959999996</v>
      </c>
    </row>
    <row r="355" spans="1:45" x14ac:dyDescent="0.2">
      <c r="A355" t="s">
        <v>720</v>
      </c>
      <c r="B355" t="s">
        <v>617</v>
      </c>
      <c r="C355" t="s">
        <v>169</v>
      </c>
      <c r="D355" t="s">
        <v>718</v>
      </c>
      <c r="E355">
        <v>32.574997000000003</v>
      </c>
      <c r="F355">
        <v>-117.1283385</v>
      </c>
      <c r="G355" s="1">
        <v>41099</v>
      </c>
      <c r="H355" s="1">
        <v>43231</v>
      </c>
      <c r="I355">
        <v>6.1643835620000003</v>
      </c>
      <c r="J355" t="s">
        <v>68</v>
      </c>
      <c r="K355">
        <v>1.7968385019999999</v>
      </c>
      <c r="L355">
        <v>0.88178408699999999</v>
      </c>
      <c r="M355" t="s">
        <v>68</v>
      </c>
      <c r="N355">
        <v>2.78</v>
      </c>
      <c r="O355">
        <v>9.5500000000000007</v>
      </c>
      <c r="P355">
        <v>0.55000000000000004</v>
      </c>
      <c r="Q355">
        <v>1.34</v>
      </c>
      <c r="R355">
        <v>0.2</v>
      </c>
      <c r="S355">
        <v>0.77</v>
      </c>
      <c r="T355">
        <v>1.1399999999999999</v>
      </c>
      <c r="U355">
        <v>1.4567000000000001</v>
      </c>
      <c r="V355">
        <v>-0.102368421</v>
      </c>
      <c r="W355">
        <v>-59.408812060000002</v>
      </c>
      <c r="X355">
        <v>71.078812060000004</v>
      </c>
      <c r="Y355">
        <v>74.591187939999998</v>
      </c>
      <c r="Z355">
        <v>7.7531614979999999</v>
      </c>
      <c r="AA355" t="s">
        <v>68</v>
      </c>
      <c r="AB355">
        <v>0.47</v>
      </c>
      <c r="AC355">
        <v>20.94</v>
      </c>
      <c r="AD355">
        <v>266.95400000000001</v>
      </c>
      <c r="AE355">
        <v>1.5845373119999999</v>
      </c>
      <c r="AF355">
        <v>0.75872676900000002</v>
      </c>
      <c r="AG355" t="s">
        <v>68</v>
      </c>
      <c r="AH355">
        <v>0</v>
      </c>
      <c r="AI355">
        <v>0</v>
      </c>
      <c r="AJ355">
        <v>0</v>
      </c>
      <c r="AK355">
        <v>0</v>
      </c>
      <c r="AL355" t="s">
        <v>68</v>
      </c>
      <c r="AM355" t="s">
        <v>275</v>
      </c>
      <c r="AN355">
        <v>-4.07E-2</v>
      </c>
      <c r="AO355">
        <v>5.67E-2</v>
      </c>
      <c r="AP355">
        <v>240.13749999999999</v>
      </c>
      <c r="AQ355">
        <v>8.8999999999999996E-2</v>
      </c>
      <c r="AR355">
        <v>723</v>
      </c>
      <c r="AS355">
        <v>5900.1842749999996</v>
      </c>
    </row>
    <row r="356" spans="1:45" x14ac:dyDescent="0.2">
      <c r="A356" t="s">
        <v>721</v>
      </c>
      <c r="B356" t="s">
        <v>617</v>
      </c>
      <c r="C356" t="s">
        <v>169</v>
      </c>
      <c r="D356" t="s">
        <v>718</v>
      </c>
      <c r="E356">
        <v>32.575277</v>
      </c>
      <c r="F356">
        <v>-117.1280512</v>
      </c>
      <c r="G356" s="1">
        <v>41099</v>
      </c>
      <c r="H356" s="1">
        <v>43231</v>
      </c>
      <c r="I356">
        <v>6.1643835620000003</v>
      </c>
      <c r="J356" t="s">
        <v>68</v>
      </c>
      <c r="K356">
        <v>3.9133903139999999</v>
      </c>
      <c r="L356">
        <v>0.98878493899999997</v>
      </c>
      <c r="M356" t="s">
        <v>68</v>
      </c>
      <c r="N356">
        <v>2.78</v>
      </c>
      <c r="O356">
        <v>9.5500000000000007</v>
      </c>
      <c r="P356">
        <v>0.55000000000000004</v>
      </c>
      <c r="Q356">
        <v>1.34</v>
      </c>
      <c r="R356">
        <v>0.2</v>
      </c>
      <c r="S356">
        <v>0.77</v>
      </c>
      <c r="T356">
        <v>1.1399999999999999</v>
      </c>
      <c r="U356">
        <v>1.2769999999999999</v>
      </c>
      <c r="V356">
        <v>5.5263158E-2</v>
      </c>
      <c r="W356">
        <v>-59.408812060000002</v>
      </c>
      <c r="X356">
        <v>53.108812059999998</v>
      </c>
      <c r="Y356">
        <v>74.591187939999998</v>
      </c>
      <c r="Z356">
        <v>5.6366096859999999</v>
      </c>
      <c r="AA356" t="s">
        <v>68</v>
      </c>
      <c r="AB356">
        <v>0.47</v>
      </c>
      <c r="AC356">
        <v>20.94</v>
      </c>
      <c r="AD356">
        <v>266.95400000000001</v>
      </c>
      <c r="AE356">
        <v>1.5845373119999999</v>
      </c>
      <c r="AF356">
        <v>0.75872676900000002</v>
      </c>
      <c r="AG356" t="s">
        <v>68</v>
      </c>
      <c r="AH356">
        <v>0</v>
      </c>
      <c r="AI356">
        <v>0</v>
      </c>
      <c r="AJ356">
        <v>0</v>
      </c>
      <c r="AK356">
        <v>0</v>
      </c>
      <c r="AL356" t="s">
        <v>68</v>
      </c>
      <c r="AM356" t="s">
        <v>275</v>
      </c>
      <c r="AN356">
        <v>7.9799999999999996E-2</v>
      </c>
      <c r="AO356">
        <v>8.5999999999999993E-2</v>
      </c>
      <c r="AP356">
        <v>287.39</v>
      </c>
      <c r="AQ356">
        <v>8.8999999999999996E-2</v>
      </c>
      <c r="AR356">
        <v>1000</v>
      </c>
      <c r="AS356">
        <v>1000</v>
      </c>
    </row>
    <row r="357" spans="1:45" x14ac:dyDescent="0.2">
      <c r="A357" t="s">
        <v>722</v>
      </c>
      <c r="B357" t="s">
        <v>723</v>
      </c>
      <c r="C357" t="s">
        <v>724</v>
      </c>
      <c r="D357" t="s">
        <v>725</v>
      </c>
      <c r="E357">
        <v>-33.869019999999999</v>
      </c>
      <c r="F357">
        <v>25.620979999999999</v>
      </c>
      <c r="G357" s="1">
        <v>40093</v>
      </c>
      <c r="H357" s="1">
        <v>43688</v>
      </c>
      <c r="I357">
        <v>10.3369863</v>
      </c>
      <c r="J357" t="s">
        <v>68</v>
      </c>
      <c r="K357">
        <v>7.1825399540000001</v>
      </c>
      <c r="L357">
        <v>0.87629869800000004</v>
      </c>
      <c r="M357" t="s">
        <v>68</v>
      </c>
      <c r="N357">
        <v>2.12</v>
      </c>
      <c r="O357">
        <v>4.0599999999999996</v>
      </c>
      <c r="P357">
        <v>-0.41</v>
      </c>
      <c r="Q357">
        <v>1.1200000000000001</v>
      </c>
      <c r="R357">
        <v>-1.1200000000000001</v>
      </c>
      <c r="S357">
        <v>0</v>
      </c>
      <c r="T357">
        <v>2.2400000000000002</v>
      </c>
      <c r="U357">
        <v>0.77429999999999999</v>
      </c>
      <c r="V357">
        <v>0.154330357</v>
      </c>
      <c r="W357">
        <v>-91.157343019999999</v>
      </c>
      <c r="X357">
        <v>56.587343019999999</v>
      </c>
      <c r="Y357">
        <v>20.842656980000001</v>
      </c>
      <c r="Z357">
        <v>-3.1225399540000001</v>
      </c>
      <c r="AA357">
        <v>6.54</v>
      </c>
      <c r="AB357">
        <v>1.4447333330000001</v>
      </c>
      <c r="AC357">
        <v>22.5</v>
      </c>
      <c r="AD357">
        <v>561</v>
      </c>
      <c r="AE357">
        <v>4.3347154659999996</v>
      </c>
      <c r="AF357">
        <v>2.9806455110000001</v>
      </c>
      <c r="AG357" t="s">
        <v>726</v>
      </c>
      <c r="AH357">
        <v>1</v>
      </c>
      <c r="AI357">
        <v>0</v>
      </c>
      <c r="AJ357">
        <v>0</v>
      </c>
      <c r="AK357">
        <v>0</v>
      </c>
      <c r="AL357" t="s">
        <v>155</v>
      </c>
      <c r="AM357" t="s">
        <v>275</v>
      </c>
      <c r="AN357">
        <v>-2E-3</v>
      </c>
      <c r="AO357" s="2">
        <v>2.0000000000000001E-4</v>
      </c>
      <c r="AP357">
        <v>11.532500000000001</v>
      </c>
      <c r="AQ357">
        <v>0.32200000000000001</v>
      </c>
      <c r="AR357">
        <v>1000</v>
      </c>
      <c r="AS357">
        <v>5766.25</v>
      </c>
    </row>
    <row r="358" spans="1:45" x14ac:dyDescent="0.2">
      <c r="A358" t="s">
        <v>727</v>
      </c>
      <c r="B358" t="s">
        <v>723</v>
      </c>
      <c r="C358" t="s">
        <v>724</v>
      </c>
      <c r="D358" t="s">
        <v>725</v>
      </c>
      <c r="E358">
        <v>-33.869370000000004</v>
      </c>
      <c r="F358">
        <v>25.62144</v>
      </c>
      <c r="G358" s="1">
        <v>40093</v>
      </c>
      <c r="H358" s="1">
        <v>43688</v>
      </c>
      <c r="I358">
        <v>10.3369863</v>
      </c>
      <c r="J358" t="s">
        <v>68</v>
      </c>
      <c r="K358">
        <v>-0.35340814700000001</v>
      </c>
      <c r="L358">
        <v>0.242480844</v>
      </c>
      <c r="M358" t="s">
        <v>68</v>
      </c>
      <c r="N358">
        <v>2.12</v>
      </c>
      <c r="O358">
        <v>4.0599999999999996</v>
      </c>
      <c r="P358">
        <v>-0.41</v>
      </c>
      <c r="Q358">
        <v>1.1200000000000001</v>
      </c>
      <c r="R358">
        <v>-1.1200000000000001</v>
      </c>
      <c r="S358">
        <v>0</v>
      </c>
      <c r="T358">
        <v>2.2400000000000002</v>
      </c>
      <c r="U358">
        <v>0.61850000000000005</v>
      </c>
      <c r="V358">
        <v>0.22388392900000001</v>
      </c>
      <c r="W358">
        <v>-91.157343019999999</v>
      </c>
      <c r="X358">
        <v>41.00734302</v>
      </c>
      <c r="Y358">
        <v>20.842656980000001</v>
      </c>
      <c r="Z358">
        <v>4.4134081470000002</v>
      </c>
      <c r="AA358">
        <v>6.54</v>
      </c>
      <c r="AB358">
        <v>1.0460775</v>
      </c>
      <c r="AC358">
        <v>22.5</v>
      </c>
      <c r="AD358">
        <v>561</v>
      </c>
      <c r="AE358">
        <v>4.4601910910000004</v>
      </c>
      <c r="AF358">
        <v>3.0443937820000002</v>
      </c>
      <c r="AG358" t="s">
        <v>726</v>
      </c>
      <c r="AH358">
        <v>1</v>
      </c>
      <c r="AI358">
        <v>0</v>
      </c>
      <c r="AJ358">
        <v>0</v>
      </c>
      <c r="AK358">
        <v>0</v>
      </c>
      <c r="AL358" t="s">
        <v>155</v>
      </c>
      <c r="AM358" t="s">
        <v>275</v>
      </c>
      <c r="AN358" t="s">
        <v>68</v>
      </c>
      <c r="AO358" t="s">
        <v>68</v>
      </c>
      <c r="AP358" t="s">
        <v>68</v>
      </c>
      <c r="AQ358">
        <v>0.32200000000000001</v>
      </c>
      <c r="AR358">
        <v>166</v>
      </c>
      <c r="AS358" t="s">
        <v>68</v>
      </c>
    </row>
    <row r="359" spans="1:45" x14ac:dyDescent="0.2">
      <c r="A359" t="s">
        <v>728</v>
      </c>
      <c r="B359" t="s">
        <v>723</v>
      </c>
      <c r="C359" t="s">
        <v>724</v>
      </c>
      <c r="D359" t="s">
        <v>725</v>
      </c>
      <c r="E359">
        <v>-33.869779999999999</v>
      </c>
      <c r="F359">
        <v>25.622119999999999</v>
      </c>
      <c r="G359" s="1">
        <v>40093</v>
      </c>
      <c r="H359" s="1">
        <v>43688</v>
      </c>
      <c r="I359">
        <v>10.3369863</v>
      </c>
      <c r="J359" t="s">
        <v>68</v>
      </c>
      <c r="K359">
        <v>-7.3474700589999999</v>
      </c>
      <c r="L359">
        <v>0.82818078399999995</v>
      </c>
      <c r="M359" t="s">
        <v>68</v>
      </c>
      <c r="N359">
        <v>2.12</v>
      </c>
      <c r="O359">
        <v>4.0599999999999996</v>
      </c>
      <c r="P359">
        <v>-0.41</v>
      </c>
      <c r="Q359">
        <v>1.1200000000000001</v>
      </c>
      <c r="R359">
        <v>-1.1200000000000001</v>
      </c>
      <c r="S359">
        <v>0</v>
      </c>
      <c r="T359">
        <v>2.2400000000000002</v>
      </c>
      <c r="U359">
        <v>0.63570000000000004</v>
      </c>
      <c r="V359">
        <v>0.21620535699999999</v>
      </c>
      <c r="W359">
        <v>-91.157343019999999</v>
      </c>
      <c r="X359">
        <v>42.727343019999999</v>
      </c>
      <c r="Y359">
        <v>20.842656980000001</v>
      </c>
      <c r="Z359">
        <v>11.40747006</v>
      </c>
      <c r="AA359">
        <v>6.54</v>
      </c>
      <c r="AB359">
        <v>1.2491554170000001</v>
      </c>
      <c r="AC359">
        <v>22.5</v>
      </c>
      <c r="AD359">
        <v>561</v>
      </c>
      <c r="AE359">
        <v>4.4601910910000004</v>
      </c>
      <c r="AF359">
        <v>3.0443937820000002</v>
      </c>
      <c r="AG359" t="s">
        <v>726</v>
      </c>
      <c r="AH359">
        <v>1</v>
      </c>
      <c r="AI359">
        <v>0</v>
      </c>
      <c r="AJ359">
        <v>0</v>
      </c>
      <c r="AK359">
        <v>0</v>
      </c>
      <c r="AL359" t="s">
        <v>155</v>
      </c>
      <c r="AM359" t="s">
        <v>275</v>
      </c>
      <c r="AN359" t="s">
        <v>68</v>
      </c>
      <c r="AO359" t="s">
        <v>68</v>
      </c>
      <c r="AP359" t="s">
        <v>68</v>
      </c>
      <c r="AQ359">
        <v>0.32200000000000001</v>
      </c>
      <c r="AR359">
        <v>45</v>
      </c>
      <c r="AS359" t="s">
        <v>68</v>
      </c>
    </row>
    <row r="360" spans="1:45" x14ac:dyDescent="0.2">
      <c r="A360" t="s">
        <v>729</v>
      </c>
      <c r="B360" t="s">
        <v>723</v>
      </c>
      <c r="C360" t="s">
        <v>724</v>
      </c>
      <c r="D360" t="s">
        <v>725</v>
      </c>
      <c r="E360">
        <v>-33.853769999999997</v>
      </c>
      <c r="F360">
        <v>25.606780000000001</v>
      </c>
      <c r="G360" s="1">
        <v>40093</v>
      </c>
      <c r="H360" t="s">
        <v>730</v>
      </c>
      <c r="I360">
        <v>8.9561643839999991</v>
      </c>
      <c r="J360" t="s">
        <v>68</v>
      </c>
      <c r="K360">
        <v>-9.3925578549999997</v>
      </c>
      <c r="L360">
        <v>0.37127925699999997</v>
      </c>
      <c r="M360" t="s">
        <v>68</v>
      </c>
      <c r="N360">
        <v>2.12</v>
      </c>
      <c r="O360">
        <v>4.0599999999999996</v>
      </c>
      <c r="P360">
        <v>-0.41</v>
      </c>
      <c r="Q360">
        <v>1.1200000000000001</v>
      </c>
      <c r="R360">
        <v>-1.1200000000000001</v>
      </c>
      <c r="S360">
        <v>0</v>
      </c>
      <c r="T360">
        <v>2.2400000000000002</v>
      </c>
      <c r="U360">
        <v>0.60270000000000001</v>
      </c>
      <c r="V360">
        <v>0.23093749999999999</v>
      </c>
      <c r="W360">
        <v>-91.157343019999999</v>
      </c>
      <c r="X360">
        <v>39.427343020000002</v>
      </c>
      <c r="Y360">
        <v>20.842656980000001</v>
      </c>
      <c r="Z360">
        <v>13.452557860000001</v>
      </c>
      <c r="AA360">
        <v>12.39</v>
      </c>
      <c r="AB360">
        <v>0.97051111099999998</v>
      </c>
      <c r="AC360">
        <v>22.5</v>
      </c>
      <c r="AD360">
        <v>561</v>
      </c>
      <c r="AE360">
        <v>4.4601910910000004</v>
      </c>
      <c r="AF360">
        <v>3.0443937820000002</v>
      </c>
      <c r="AG360" t="s">
        <v>726</v>
      </c>
      <c r="AH360">
        <v>1</v>
      </c>
      <c r="AI360">
        <v>0</v>
      </c>
      <c r="AJ360">
        <v>0</v>
      </c>
      <c r="AK360">
        <v>0</v>
      </c>
      <c r="AL360" t="s">
        <v>155</v>
      </c>
      <c r="AM360" t="s">
        <v>275</v>
      </c>
      <c r="AN360">
        <v>-0.34949999999999998</v>
      </c>
      <c r="AO360">
        <v>0.95</v>
      </c>
      <c r="AP360">
        <v>10.8925</v>
      </c>
      <c r="AQ360">
        <v>0.32200000000000001</v>
      </c>
      <c r="AR360">
        <v>34</v>
      </c>
      <c r="AS360">
        <v>31.165951360000001</v>
      </c>
    </row>
    <row r="361" spans="1:45" x14ac:dyDescent="0.2">
      <c r="A361" t="s">
        <v>731</v>
      </c>
      <c r="B361" t="s">
        <v>723</v>
      </c>
      <c r="C361" t="s">
        <v>724</v>
      </c>
      <c r="D361" t="s">
        <v>725</v>
      </c>
      <c r="E361">
        <v>-33.853929999999998</v>
      </c>
      <c r="F361">
        <v>25.606169999999999</v>
      </c>
      <c r="G361" s="1">
        <v>40093</v>
      </c>
      <c r="H361" s="1">
        <v>43688</v>
      </c>
      <c r="I361">
        <v>10.3369863</v>
      </c>
      <c r="J361" t="s">
        <v>68</v>
      </c>
      <c r="K361">
        <v>2.598514089</v>
      </c>
      <c r="L361">
        <v>0.53035779400000005</v>
      </c>
      <c r="M361" t="s">
        <v>68</v>
      </c>
      <c r="N361">
        <v>2.12</v>
      </c>
      <c r="O361">
        <v>4.0599999999999996</v>
      </c>
      <c r="P361">
        <v>-0.41</v>
      </c>
      <c r="Q361">
        <v>1.1200000000000001</v>
      </c>
      <c r="R361">
        <v>-1.1200000000000001</v>
      </c>
      <c r="S361">
        <v>0</v>
      </c>
      <c r="T361">
        <v>2.2400000000000002</v>
      </c>
      <c r="U361">
        <v>0.61770000000000003</v>
      </c>
      <c r="V361">
        <v>0.22424107099999999</v>
      </c>
      <c r="W361">
        <v>-91.157343019999999</v>
      </c>
      <c r="X361">
        <v>40.927343020000002</v>
      </c>
      <c r="Y361">
        <v>20.842656980000001</v>
      </c>
      <c r="Z361">
        <v>1.461485911</v>
      </c>
      <c r="AA361">
        <v>12.39</v>
      </c>
      <c r="AB361">
        <v>1.0735727779999999</v>
      </c>
      <c r="AC361">
        <v>22.5</v>
      </c>
      <c r="AD361">
        <v>561</v>
      </c>
      <c r="AE361">
        <v>4.4601910910000004</v>
      </c>
      <c r="AF361">
        <v>3.0443937820000002</v>
      </c>
      <c r="AG361" t="s">
        <v>726</v>
      </c>
      <c r="AH361">
        <v>1</v>
      </c>
      <c r="AI361">
        <v>0</v>
      </c>
      <c r="AJ361">
        <v>0</v>
      </c>
      <c r="AK361">
        <v>0</v>
      </c>
      <c r="AL361" t="s">
        <v>155</v>
      </c>
      <c r="AM361" t="s">
        <v>275</v>
      </c>
      <c r="AN361">
        <v>-0.17799999999999999</v>
      </c>
      <c r="AO361">
        <v>0.46</v>
      </c>
      <c r="AP361">
        <v>8.2524999999999995</v>
      </c>
      <c r="AQ361">
        <v>0.32200000000000001</v>
      </c>
      <c r="AR361">
        <v>1000</v>
      </c>
      <c r="AS361">
        <v>46.362359550000001</v>
      </c>
    </row>
    <row r="362" spans="1:45" x14ac:dyDescent="0.2">
      <c r="A362" t="s">
        <v>732</v>
      </c>
      <c r="B362" t="s">
        <v>723</v>
      </c>
      <c r="C362" t="s">
        <v>724</v>
      </c>
      <c r="D362" t="s">
        <v>725</v>
      </c>
      <c r="E362">
        <v>-33.854019999999998</v>
      </c>
      <c r="F362">
        <v>25.60568</v>
      </c>
      <c r="G362" s="1">
        <v>40093</v>
      </c>
      <c r="H362" s="1">
        <v>43688</v>
      </c>
      <c r="I362">
        <v>10.3369863</v>
      </c>
      <c r="J362" t="s">
        <v>68</v>
      </c>
      <c r="K362">
        <v>1.247734251</v>
      </c>
      <c r="L362">
        <v>0.78296828600000001</v>
      </c>
      <c r="M362" t="s">
        <v>68</v>
      </c>
      <c r="N362">
        <v>2.12</v>
      </c>
      <c r="O362">
        <v>4.0599999999999996</v>
      </c>
      <c r="P362">
        <v>-0.41</v>
      </c>
      <c r="Q362">
        <v>1.1200000000000001</v>
      </c>
      <c r="R362">
        <v>-1.1200000000000001</v>
      </c>
      <c r="S362">
        <v>0</v>
      </c>
      <c r="T362">
        <v>2.2400000000000002</v>
      </c>
      <c r="U362">
        <v>0.60580000000000001</v>
      </c>
      <c r="V362">
        <v>0.22955357100000001</v>
      </c>
      <c r="W362">
        <v>-91.157343019999999</v>
      </c>
      <c r="X362">
        <v>39.737343019999997</v>
      </c>
      <c r="Y362">
        <v>20.842656980000001</v>
      </c>
      <c r="Z362">
        <v>2.8122657489999998</v>
      </c>
      <c r="AA362">
        <v>12.39</v>
      </c>
      <c r="AB362">
        <v>0.73820555600000004</v>
      </c>
      <c r="AC362">
        <v>22.5</v>
      </c>
      <c r="AD362">
        <v>561</v>
      </c>
      <c r="AE362">
        <v>4.4601910910000004</v>
      </c>
      <c r="AF362">
        <v>3.0443937820000002</v>
      </c>
      <c r="AG362" t="s">
        <v>726</v>
      </c>
      <c r="AH362">
        <v>1</v>
      </c>
      <c r="AI362">
        <v>0</v>
      </c>
      <c r="AJ362">
        <v>0</v>
      </c>
      <c r="AK362">
        <v>0</v>
      </c>
      <c r="AL362" t="s">
        <v>155</v>
      </c>
      <c r="AM362" t="s">
        <v>275</v>
      </c>
      <c r="AN362">
        <v>0.14199999999999999</v>
      </c>
      <c r="AO362">
        <v>0.34</v>
      </c>
      <c r="AP362">
        <v>11.29</v>
      </c>
      <c r="AQ362">
        <v>0.32200000000000001</v>
      </c>
      <c r="AR362">
        <v>456</v>
      </c>
      <c r="AS362">
        <v>1000</v>
      </c>
    </row>
    <row r="363" spans="1:45" x14ac:dyDescent="0.2">
      <c r="A363" t="s">
        <v>733</v>
      </c>
      <c r="B363" t="s">
        <v>723</v>
      </c>
      <c r="C363" t="s">
        <v>724</v>
      </c>
      <c r="D363" t="s">
        <v>725</v>
      </c>
      <c r="E363">
        <v>-33.851109999999998</v>
      </c>
      <c r="F363">
        <v>25.597339999999999</v>
      </c>
      <c r="G363" s="1">
        <v>40093</v>
      </c>
      <c r="H363" s="1">
        <v>43688</v>
      </c>
      <c r="I363">
        <v>10.3369863</v>
      </c>
      <c r="J363" t="s">
        <v>68</v>
      </c>
      <c r="K363">
        <v>5.1073147990000001</v>
      </c>
      <c r="L363">
        <v>0.82617469399999999</v>
      </c>
      <c r="M363" t="s">
        <v>68</v>
      </c>
      <c r="N363">
        <v>2.12</v>
      </c>
      <c r="O363">
        <v>4.0599999999999996</v>
      </c>
      <c r="P363">
        <v>-0.41</v>
      </c>
      <c r="Q363">
        <v>1.1200000000000001</v>
      </c>
      <c r="R363">
        <v>-1.1200000000000001</v>
      </c>
      <c r="S363">
        <v>0</v>
      </c>
      <c r="T363">
        <v>2.2400000000000002</v>
      </c>
      <c r="U363">
        <v>0.49540000000000001</v>
      </c>
      <c r="V363">
        <v>0.27883928600000002</v>
      </c>
      <c r="W363">
        <v>-91.157343019999999</v>
      </c>
      <c r="X363">
        <v>28.697343020000002</v>
      </c>
      <c r="Y363">
        <v>20.842656980000001</v>
      </c>
      <c r="Z363">
        <v>-1.047314799</v>
      </c>
      <c r="AA363">
        <v>3.34</v>
      </c>
      <c r="AB363">
        <v>1.36</v>
      </c>
      <c r="AC363">
        <v>22.5</v>
      </c>
      <c r="AD363">
        <v>561</v>
      </c>
      <c r="AE363">
        <v>4.4601910910000004</v>
      </c>
      <c r="AF363">
        <v>3.0443937820000002</v>
      </c>
      <c r="AG363" t="s">
        <v>726</v>
      </c>
      <c r="AH363">
        <v>1</v>
      </c>
      <c r="AI363">
        <v>0</v>
      </c>
      <c r="AJ363">
        <v>0</v>
      </c>
      <c r="AK363">
        <v>0</v>
      </c>
      <c r="AL363" t="s">
        <v>155</v>
      </c>
      <c r="AM363" t="s">
        <v>275</v>
      </c>
      <c r="AN363">
        <v>-0.4531</v>
      </c>
      <c r="AO363">
        <v>0.95</v>
      </c>
      <c r="AP363">
        <v>2.8250000000000002</v>
      </c>
      <c r="AQ363">
        <v>0.32200000000000001</v>
      </c>
      <c r="AR363">
        <v>1000</v>
      </c>
      <c r="AS363">
        <v>6.2348267489999998</v>
      </c>
    </row>
    <row r="364" spans="1:45" x14ac:dyDescent="0.2">
      <c r="A364" t="s">
        <v>734</v>
      </c>
      <c r="B364" t="s">
        <v>723</v>
      </c>
      <c r="C364" t="s">
        <v>724</v>
      </c>
      <c r="D364" t="s">
        <v>725</v>
      </c>
      <c r="E364">
        <v>-33.850369999999998</v>
      </c>
      <c r="F364">
        <v>25.596720000000001</v>
      </c>
      <c r="G364" s="1">
        <v>40093</v>
      </c>
      <c r="H364" s="1">
        <v>43688</v>
      </c>
      <c r="I364">
        <v>10.3369863</v>
      </c>
      <c r="J364" t="s">
        <v>68</v>
      </c>
      <c r="K364">
        <v>2.3083813339999999</v>
      </c>
      <c r="L364">
        <v>0.442614065</v>
      </c>
      <c r="M364" t="s">
        <v>68</v>
      </c>
      <c r="N364">
        <v>2.12</v>
      </c>
      <c r="O364">
        <v>4.0599999999999996</v>
      </c>
      <c r="P364">
        <v>-0.41</v>
      </c>
      <c r="Q364">
        <v>1.1200000000000001</v>
      </c>
      <c r="R364">
        <v>-1.1200000000000001</v>
      </c>
      <c r="S364">
        <v>0</v>
      </c>
      <c r="T364">
        <v>2.2400000000000002</v>
      </c>
      <c r="U364">
        <v>0.57599999999999996</v>
      </c>
      <c r="V364">
        <v>0.242857143</v>
      </c>
      <c r="W364">
        <v>-91.157343019999999</v>
      </c>
      <c r="X364">
        <v>36.75734302</v>
      </c>
      <c r="Y364">
        <v>20.842656980000001</v>
      </c>
      <c r="Z364">
        <v>1.7516186659999999</v>
      </c>
      <c r="AA364">
        <v>3.34</v>
      </c>
      <c r="AB364">
        <v>1.36</v>
      </c>
      <c r="AC364">
        <v>22.5</v>
      </c>
      <c r="AD364">
        <v>561</v>
      </c>
      <c r="AE364">
        <v>4.4601910910000004</v>
      </c>
      <c r="AF364">
        <v>3.0443937820000002</v>
      </c>
      <c r="AG364" t="s">
        <v>726</v>
      </c>
      <c r="AH364">
        <v>1</v>
      </c>
      <c r="AI364">
        <v>0</v>
      </c>
      <c r="AJ364">
        <v>0</v>
      </c>
      <c r="AK364">
        <v>0</v>
      </c>
      <c r="AL364" t="s">
        <v>155</v>
      </c>
      <c r="AM364" t="s">
        <v>275</v>
      </c>
      <c r="AN364" t="s">
        <v>68</v>
      </c>
      <c r="AO364" t="s">
        <v>68</v>
      </c>
      <c r="AP364" t="s">
        <v>68</v>
      </c>
      <c r="AQ364">
        <v>0.32200000000000001</v>
      </c>
      <c r="AR364">
        <v>1000</v>
      </c>
      <c r="AS364" t="s">
        <v>68</v>
      </c>
    </row>
    <row r="365" spans="1:45" x14ac:dyDescent="0.2">
      <c r="A365" t="s">
        <v>735</v>
      </c>
      <c r="B365" t="s">
        <v>332</v>
      </c>
      <c r="C365" t="s">
        <v>169</v>
      </c>
      <c r="D365" t="s">
        <v>736</v>
      </c>
      <c r="E365">
        <v>41.824750999999999</v>
      </c>
      <c r="F365">
        <v>-69.963020999999998</v>
      </c>
      <c r="G365" s="1">
        <v>35926</v>
      </c>
      <c r="H365" t="s">
        <v>737</v>
      </c>
      <c r="I365">
        <v>19.958904109999999</v>
      </c>
      <c r="J365">
        <v>4.6344287560000001</v>
      </c>
      <c r="K365">
        <v>3.3751110419999999</v>
      </c>
      <c r="L365">
        <v>0.93192945400000005</v>
      </c>
      <c r="M365">
        <f t="shared" si="5"/>
        <v>1.2593177140000003</v>
      </c>
      <c r="N365">
        <v>2.86</v>
      </c>
      <c r="O365">
        <v>5.43</v>
      </c>
      <c r="P365">
        <v>1.78</v>
      </c>
      <c r="Q365">
        <v>1.319</v>
      </c>
      <c r="R365">
        <v>-1.5740000000000001</v>
      </c>
      <c r="S365">
        <v>-9.1999999999999998E-2</v>
      </c>
      <c r="T365">
        <v>2.8929999999999998</v>
      </c>
      <c r="U365">
        <v>0.73329999999999995</v>
      </c>
      <c r="V365">
        <v>0.2024542</v>
      </c>
      <c r="W365">
        <v>-103.181741</v>
      </c>
      <c r="X365">
        <v>44.61174097</v>
      </c>
      <c r="Y365">
        <v>28.718259029999999</v>
      </c>
      <c r="Z365">
        <v>2.0548889579999998</v>
      </c>
      <c r="AA365" t="s">
        <v>68</v>
      </c>
      <c r="AB365" t="s">
        <v>68</v>
      </c>
      <c r="AC365">
        <v>14</v>
      </c>
      <c r="AD365">
        <v>530.6</v>
      </c>
      <c r="AE365">
        <v>3.3301508719999999</v>
      </c>
      <c r="AF365">
        <v>2.0341741419999999</v>
      </c>
      <c r="AG365" t="s">
        <v>68</v>
      </c>
      <c r="AH365">
        <v>0</v>
      </c>
      <c r="AI365">
        <v>0</v>
      </c>
      <c r="AJ365">
        <v>0</v>
      </c>
      <c r="AK365">
        <v>0</v>
      </c>
      <c r="AL365" t="s">
        <v>68</v>
      </c>
      <c r="AM365" t="s">
        <v>275</v>
      </c>
      <c r="AN365">
        <v>-0.38800000000000001</v>
      </c>
      <c r="AO365">
        <v>0.92</v>
      </c>
      <c r="AP365">
        <v>16.137499999999999</v>
      </c>
      <c r="AQ365">
        <v>0.26</v>
      </c>
      <c r="AR365">
        <v>1000</v>
      </c>
      <c r="AS365">
        <v>41.591494849999997</v>
      </c>
    </row>
    <row r="366" spans="1:45" x14ac:dyDescent="0.2">
      <c r="A366" t="s">
        <v>738</v>
      </c>
      <c r="B366" t="s">
        <v>332</v>
      </c>
      <c r="C366" t="s">
        <v>169</v>
      </c>
      <c r="D366" t="s">
        <v>736</v>
      </c>
      <c r="E366">
        <v>41.823979999999999</v>
      </c>
      <c r="F366">
        <v>-69.962587999999997</v>
      </c>
      <c r="G366" s="1">
        <v>35926</v>
      </c>
      <c r="H366" t="s">
        <v>737</v>
      </c>
      <c r="I366">
        <v>19.958904109999999</v>
      </c>
      <c r="J366">
        <v>4.0116751409999996</v>
      </c>
      <c r="K366">
        <v>2.1664982049999999</v>
      </c>
      <c r="L366">
        <v>0.81379400800000001</v>
      </c>
      <c r="M366">
        <f t="shared" si="5"/>
        <v>1.8451769359999997</v>
      </c>
      <c r="N366">
        <v>2.86</v>
      </c>
      <c r="O366">
        <v>5.43</v>
      </c>
      <c r="P366">
        <v>1.78</v>
      </c>
      <c r="Q366">
        <v>1.319</v>
      </c>
      <c r="R366">
        <v>-1.5740000000000001</v>
      </c>
      <c r="S366">
        <v>-9.1999999999999998E-2</v>
      </c>
      <c r="T366">
        <v>2.8929999999999998</v>
      </c>
      <c r="U366">
        <v>0.74399999999999999</v>
      </c>
      <c r="V366">
        <v>0.198755617</v>
      </c>
      <c r="W366">
        <v>-103.181741</v>
      </c>
      <c r="X366">
        <v>45.68174097</v>
      </c>
      <c r="Y366">
        <v>28.718259029999999</v>
      </c>
      <c r="Z366">
        <v>3.2635017949999998</v>
      </c>
      <c r="AA366" t="s">
        <v>68</v>
      </c>
      <c r="AB366" t="s">
        <v>68</v>
      </c>
      <c r="AC366">
        <v>14</v>
      </c>
      <c r="AD366">
        <v>530.6</v>
      </c>
      <c r="AE366">
        <v>3.3301508719999999</v>
      </c>
      <c r="AF366">
        <v>2.0341741419999999</v>
      </c>
      <c r="AG366" t="s">
        <v>68</v>
      </c>
      <c r="AH366">
        <v>0</v>
      </c>
      <c r="AI366">
        <v>0</v>
      </c>
      <c r="AJ366">
        <v>0</v>
      </c>
      <c r="AK366">
        <v>0</v>
      </c>
      <c r="AL366" t="s">
        <v>68</v>
      </c>
      <c r="AM366" t="s">
        <v>275</v>
      </c>
      <c r="AN366">
        <v>-0.4299</v>
      </c>
      <c r="AO366">
        <v>0.95</v>
      </c>
      <c r="AP366">
        <v>12.775</v>
      </c>
      <c r="AQ366">
        <v>0.26</v>
      </c>
      <c r="AR366">
        <v>659</v>
      </c>
      <c r="AS366">
        <v>29.716213069999998</v>
      </c>
    </row>
    <row r="367" spans="1:45" x14ac:dyDescent="0.2">
      <c r="A367" t="s">
        <v>739</v>
      </c>
      <c r="B367" t="s">
        <v>332</v>
      </c>
      <c r="C367" t="s">
        <v>169</v>
      </c>
      <c r="D367" t="s">
        <v>736</v>
      </c>
      <c r="E367">
        <v>41.824153000000003</v>
      </c>
      <c r="F367">
        <v>-69.957991000000007</v>
      </c>
      <c r="G367" s="1">
        <v>35926</v>
      </c>
      <c r="H367" t="s">
        <v>737</v>
      </c>
      <c r="I367">
        <v>19.958904109999999</v>
      </c>
      <c r="J367">
        <v>4.9891717450000002</v>
      </c>
      <c r="K367">
        <v>4.2526820780000003</v>
      </c>
      <c r="L367">
        <v>0.56239106000000005</v>
      </c>
      <c r="M367">
        <f t="shared" si="5"/>
        <v>0.73648966699999985</v>
      </c>
      <c r="N367">
        <v>2.86</v>
      </c>
      <c r="O367">
        <v>5.43</v>
      </c>
      <c r="P367">
        <v>1.78</v>
      </c>
      <c r="Q367">
        <v>1.319</v>
      </c>
      <c r="R367">
        <v>-1.5740000000000001</v>
      </c>
      <c r="S367">
        <v>-9.1999999999999998E-2</v>
      </c>
      <c r="T367">
        <v>2.8929999999999998</v>
      </c>
      <c r="U367">
        <v>0.70899999999999996</v>
      </c>
      <c r="V367">
        <v>0.21085378499999999</v>
      </c>
      <c r="W367">
        <v>-103.181741</v>
      </c>
      <c r="X367">
        <v>42.18174097</v>
      </c>
      <c r="Y367">
        <v>28.718259029999999</v>
      </c>
      <c r="Z367">
        <v>1.1773179220000001</v>
      </c>
      <c r="AA367" t="s">
        <v>68</v>
      </c>
      <c r="AB367" t="s">
        <v>68</v>
      </c>
      <c r="AC367">
        <v>14</v>
      </c>
      <c r="AD367">
        <v>530.6</v>
      </c>
      <c r="AE367">
        <v>2.042143861</v>
      </c>
      <c r="AF367">
        <v>1.39644054</v>
      </c>
      <c r="AG367" t="s">
        <v>68</v>
      </c>
      <c r="AH367">
        <v>0</v>
      </c>
      <c r="AI367">
        <v>0</v>
      </c>
      <c r="AJ367">
        <v>0</v>
      </c>
      <c r="AK367">
        <v>0</v>
      </c>
      <c r="AL367" t="s">
        <v>68</v>
      </c>
      <c r="AM367" t="s">
        <v>275</v>
      </c>
      <c r="AN367">
        <v>-0.41160000000000002</v>
      </c>
      <c r="AO367">
        <v>0.91</v>
      </c>
      <c r="AP367">
        <v>11.807499999999999</v>
      </c>
      <c r="AQ367">
        <v>0.26</v>
      </c>
      <c r="AR367">
        <v>1000</v>
      </c>
      <c r="AS367">
        <v>28.68683188</v>
      </c>
    </row>
    <row r="368" spans="1:45" x14ac:dyDescent="0.2">
      <c r="A368" t="s">
        <v>740</v>
      </c>
      <c r="B368" t="s">
        <v>332</v>
      </c>
      <c r="C368" t="s">
        <v>169</v>
      </c>
      <c r="D368" t="s">
        <v>736</v>
      </c>
      <c r="E368">
        <v>41.819693000000001</v>
      </c>
      <c r="F368">
        <v>-69.957177999999999</v>
      </c>
      <c r="G368" s="1">
        <v>35926</v>
      </c>
      <c r="H368" t="s">
        <v>737</v>
      </c>
      <c r="I368">
        <v>19.958904109999999</v>
      </c>
      <c r="J368">
        <v>4.7565571520000001</v>
      </c>
      <c r="K368">
        <v>3.7815520540000001</v>
      </c>
      <c r="L368">
        <v>0.82403044299999995</v>
      </c>
      <c r="M368">
        <f t="shared" si="5"/>
        <v>0.97500509800000001</v>
      </c>
      <c r="N368">
        <v>2.86</v>
      </c>
      <c r="O368">
        <v>5.43</v>
      </c>
      <c r="P368">
        <v>1.78</v>
      </c>
      <c r="Q368">
        <v>1.319</v>
      </c>
      <c r="R368">
        <v>-1.5740000000000001</v>
      </c>
      <c r="S368">
        <v>-9.1999999999999998E-2</v>
      </c>
      <c r="T368">
        <v>2.8929999999999998</v>
      </c>
      <c r="U368">
        <v>0.78259999999999996</v>
      </c>
      <c r="V368">
        <v>0.18541306599999999</v>
      </c>
      <c r="W368">
        <v>-103.181741</v>
      </c>
      <c r="X368">
        <v>49.541740969999999</v>
      </c>
      <c r="Y368">
        <v>28.718259029999999</v>
      </c>
      <c r="Z368">
        <v>1.6484479460000001</v>
      </c>
      <c r="AA368" t="s">
        <v>68</v>
      </c>
      <c r="AB368" t="s">
        <v>68</v>
      </c>
      <c r="AC368">
        <v>14</v>
      </c>
      <c r="AD368">
        <v>530.6</v>
      </c>
      <c r="AE368">
        <v>2.042143861</v>
      </c>
      <c r="AF368">
        <v>1.39644054</v>
      </c>
      <c r="AG368" t="s">
        <v>68</v>
      </c>
      <c r="AH368">
        <v>0</v>
      </c>
      <c r="AI368">
        <v>0</v>
      </c>
      <c r="AJ368">
        <v>0</v>
      </c>
      <c r="AK368">
        <v>0</v>
      </c>
      <c r="AL368" t="s">
        <v>68</v>
      </c>
      <c r="AM368" t="s">
        <v>275</v>
      </c>
      <c r="AN368">
        <v>8.3000000000000001E-3</v>
      </c>
      <c r="AO368" s="2">
        <v>2.9999999999999997E-4</v>
      </c>
      <c r="AP368">
        <v>22.184999999999999</v>
      </c>
      <c r="AQ368">
        <v>0.26</v>
      </c>
      <c r="AR368">
        <v>1000</v>
      </c>
      <c r="AS368">
        <v>1000</v>
      </c>
    </row>
    <row r="369" spans="1:45" x14ac:dyDescent="0.2">
      <c r="A369" t="s">
        <v>741</v>
      </c>
      <c r="B369" t="s">
        <v>723</v>
      </c>
      <c r="C369" t="s">
        <v>724</v>
      </c>
      <c r="D369" t="s">
        <v>742</v>
      </c>
      <c r="E369">
        <v>-34.060555000000001</v>
      </c>
      <c r="F369">
        <v>23.060555000000001</v>
      </c>
      <c r="G369" t="s">
        <v>71</v>
      </c>
      <c r="H369" t="s">
        <v>743</v>
      </c>
      <c r="I369">
        <v>8.9780821920000005</v>
      </c>
      <c r="J369" t="s">
        <v>68</v>
      </c>
      <c r="K369">
        <v>1.0272009689999999</v>
      </c>
      <c r="L369">
        <v>0.99464297000000002</v>
      </c>
      <c r="M369" t="s">
        <v>68</v>
      </c>
      <c r="N369">
        <v>2.12</v>
      </c>
      <c r="O369">
        <v>1.22</v>
      </c>
      <c r="P369">
        <v>-0.48</v>
      </c>
      <c r="Q369">
        <v>0.9</v>
      </c>
      <c r="R369">
        <v>-0.65</v>
      </c>
      <c r="S369">
        <v>0</v>
      </c>
      <c r="T369">
        <v>1.55</v>
      </c>
      <c r="U369">
        <v>1.36</v>
      </c>
      <c r="V369">
        <v>-0.29677419399999999</v>
      </c>
      <c r="W369">
        <v>-73.849599690000005</v>
      </c>
      <c r="X369">
        <v>119.8495997</v>
      </c>
      <c r="Y369">
        <v>16.150400309999998</v>
      </c>
      <c r="Z369">
        <v>0.19279903100000001</v>
      </c>
      <c r="AA369">
        <v>3.33</v>
      </c>
      <c r="AB369" t="s">
        <v>68</v>
      </c>
      <c r="AC369">
        <v>23</v>
      </c>
      <c r="AD369">
        <v>719</v>
      </c>
      <c r="AE369">
        <v>2.3469852580000001</v>
      </c>
      <c r="AF369">
        <v>1.325201861</v>
      </c>
      <c r="AG369" t="s">
        <v>726</v>
      </c>
      <c r="AH369">
        <v>1</v>
      </c>
      <c r="AI369">
        <v>0</v>
      </c>
      <c r="AJ369">
        <v>0</v>
      </c>
      <c r="AK369">
        <v>0</v>
      </c>
      <c r="AL369" t="s">
        <v>155</v>
      </c>
      <c r="AM369" t="s">
        <v>275</v>
      </c>
      <c r="AN369">
        <v>-6.0499999999999998E-2</v>
      </c>
      <c r="AO369">
        <v>0.06</v>
      </c>
      <c r="AP369">
        <v>6.47</v>
      </c>
      <c r="AQ369">
        <v>0.8</v>
      </c>
      <c r="AR369">
        <v>1097</v>
      </c>
      <c r="AS369">
        <v>106.9421488</v>
      </c>
    </row>
    <row r="370" spans="1:45" x14ac:dyDescent="0.2">
      <c r="A370" t="s">
        <v>744</v>
      </c>
      <c r="B370" t="s">
        <v>723</v>
      </c>
      <c r="C370" t="s">
        <v>724</v>
      </c>
      <c r="D370" t="s">
        <v>742</v>
      </c>
      <c r="E370">
        <v>-34.045277779999999</v>
      </c>
      <c r="F370">
        <v>23.065000000000001</v>
      </c>
      <c r="G370" t="s">
        <v>71</v>
      </c>
      <c r="H370" t="s">
        <v>743</v>
      </c>
      <c r="I370">
        <v>8.9780821920000005</v>
      </c>
      <c r="J370" t="s">
        <v>68</v>
      </c>
      <c r="K370">
        <v>3.5493300680000002</v>
      </c>
      <c r="L370">
        <v>0.95225039499999997</v>
      </c>
      <c r="M370" t="s">
        <v>68</v>
      </c>
      <c r="N370">
        <v>2.12</v>
      </c>
      <c r="O370">
        <v>1.22</v>
      </c>
      <c r="P370">
        <v>-0.48</v>
      </c>
      <c r="Q370">
        <v>0.9</v>
      </c>
      <c r="R370">
        <v>-0.65</v>
      </c>
      <c r="S370">
        <v>0</v>
      </c>
      <c r="T370">
        <v>1.55</v>
      </c>
      <c r="U370">
        <v>1.36</v>
      </c>
      <c r="V370">
        <v>-0.29677419399999999</v>
      </c>
      <c r="W370">
        <v>-73.849599690000005</v>
      </c>
      <c r="X370">
        <v>119.8495997</v>
      </c>
      <c r="Y370">
        <v>16.150400309999998</v>
      </c>
      <c r="Z370">
        <v>-2.329330068</v>
      </c>
      <c r="AA370">
        <v>2.2200000000000002</v>
      </c>
      <c r="AB370" t="s">
        <v>68</v>
      </c>
      <c r="AC370">
        <v>23</v>
      </c>
      <c r="AD370">
        <v>719</v>
      </c>
      <c r="AE370">
        <v>2.3469852580000001</v>
      </c>
      <c r="AF370">
        <v>1.325201861</v>
      </c>
      <c r="AG370" t="s">
        <v>726</v>
      </c>
      <c r="AH370">
        <v>1</v>
      </c>
      <c r="AI370">
        <v>0</v>
      </c>
      <c r="AJ370">
        <v>0</v>
      </c>
      <c r="AK370">
        <v>0</v>
      </c>
      <c r="AL370" t="s">
        <v>155</v>
      </c>
      <c r="AM370" t="s">
        <v>275</v>
      </c>
      <c r="AN370">
        <v>4.1000000000000003E-3</v>
      </c>
      <c r="AO370">
        <v>1.5E-3</v>
      </c>
      <c r="AP370">
        <v>4.6524999999999999</v>
      </c>
      <c r="AQ370">
        <v>0.25</v>
      </c>
      <c r="AR370">
        <v>1000</v>
      </c>
      <c r="AS370">
        <v>1000</v>
      </c>
    </row>
    <row r="371" spans="1:45" x14ac:dyDescent="0.2">
      <c r="A371" t="s">
        <v>745</v>
      </c>
      <c r="B371" t="s">
        <v>723</v>
      </c>
      <c r="C371" t="s">
        <v>724</v>
      </c>
      <c r="D371" t="s">
        <v>742</v>
      </c>
      <c r="E371">
        <v>-34.051611100000002</v>
      </c>
      <c r="F371">
        <v>23.046944400000001</v>
      </c>
      <c r="G371" t="s">
        <v>746</v>
      </c>
      <c r="H371" t="s">
        <v>743</v>
      </c>
      <c r="I371">
        <v>8.9726027399999992</v>
      </c>
      <c r="J371" t="s">
        <v>68</v>
      </c>
      <c r="K371">
        <v>-1.2171321500000001</v>
      </c>
      <c r="L371">
        <v>0.32014872900000002</v>
      </c>
      <c r="M371" t="s">
        <v>68</v>
      </c>
      <c r="N371">
        <v>2.12</v>
      </c>
      <c r="O371">
        <v>1.22</v>
      </c>
      <c r="P371">
        <v>-0.48</v>
      </c>
      <c r="Q371">
        <v>0.9</v>
      </c>
      <c r="R371">
        <v>-0.65</v>
      </c>
      <c r="S371">
        <v>0</v>
      </c>
      <c r="T371">
        <v>1.55</v>
      </c>
      <c r="U371">
        <v>1.36</v>
      </c>
      <c r="V371">
        <v>-0.29677419399999999</v>
      </c>
      <c r="W371">
        <v>-73.849599690000005</v>
      </c>
      <c r="X371">
        <v>119.8495997</v>
      </c>
      <c r="Y371">
        <v>16.150400309999998</v>
      </c>
      <c r="Z371">
        <v>2.4371321500000001</v>
      </c>
      <c r="AA371">
        <v>2.04</v>
      </c>
      <c r="AB371" t="s">
        <v>68</v>
      </c>
      <c r="AC371">
        <v>23</v>
      </c>
      <c r="AD371">
        <v>719</v>
      </c>
      <c r="AE371">
        <v>2.3469852580000001</v>
      </c>
      <c r="AF371">
        <v>1.325201861</v>
      </c>
      <c r="AG371" t="s">
        <v>726</v>
      </c>
      <c r="AH371">
        <v>1</v>
      </c>
      <c r="AI371">
        <v>0</v>
      </c>
      <c r="AJ371">
        <v>0</v>
      </c>
      <c r="AK371">
        <v>0</v>
      </c>
      <c r="AL371" t="s">
        <v>155</v>
      </c>
      <c r="AM371" t="s">
        <v>275</v>
      </c>
      <c r="AN371">
        <v>6.7999999999999996E-3</v>
      </c>
      <c r="AO371">
        <v>8.0000000000000002E-3</v>
      </c>
      <c r="AP371">
        <v>13.9025</v>
      </c>
      <c r="AQ371">
        <v>0.11</v>
      </c>
      <c r="AR371">
        <v>359</v>
      </c>
      <c r="AS371">
        <v>1000</v>
      </c>
    </row>
    <row r="372" spans="1:45" x14ac:dyDescent="0.2">
      <c r="A372" t="s">
        <v>747</v>
      </c>
      <c r="B372" t="s">
        <v>723</v>
      </c>
      <c r="C372" t="s">
        <v>724</v>
      </c>
      <c r="D372" t="s">
        <v>742</v>
      </c>
      <c r="E372">
        <v>-34.059443999999999</v>
      </c>
      <c r="F372">
        <v>23.015277780000002</v>
      </c>
      <c r="G372" t="s">
        <v>748</v>
      </c>
      <c r="H372" t="s">
        <v>743</v>
      </c>
      <c r="I372">
        <v>8.9753424660000007</v>
      </c>
      <c r="J372" t="s">
        <v>68</v>
      </c>
      <c r="K372">
        <v>-0.194662684</v>
      </c>
      <c r="L372">
        <v>0.276685609</v>
      </c>
      <c r="M372" t="s">
        <v>68</v>
      </c>
      <c r="N372">
        <v>2.12</v>
      </c>
      <c r="O372">
        <v>1.22</v>
      </c>
      <c r="P372">
        <v>-0.48</v>
      </c>
      <c r="Q372">
        <v>0.9</v>
      </c>
      <c r="R372">
        <v>-0.65</v>
      </c>
      <c r="S372">
        <v>0</v>
      </c>
      <c r="T372">
        <v>1.55</v>
      </c>
      <c r="U372">
        <v>1.36</v>
      </c>
      <c r="V372">
        <v>-0.29677419399999999</v>
      </c>
      <c r="W372">
        <v>-73.849599690000005</v>
      </c>
      <c r="X372">
        <v>119.8495997</v>
      </c>
      <c r="Y372">
        <v>16.150400309999998</v>
      </c>
      <c r="Z372">
        <v>1.4146626840000001</v>
      </c>
      <c r="AA372">
        <v>2.42</v>
      </c>
      <c r="AB372" t="s">
        <v>68</v>
      </c>
      <c r="AC372">
        <v>23</v>
      </c>
      <c r="AD372">
        <v>719</v>
      </c>
      <c r="AE372">
        <v>3.507502449</v>
      </c>
      <c r="AF372">
        <v>1.640390577</v>
      </c>
      <c r="AG372" t="s">
        <v>726</v>
      </c>
      <c r="AH372">
        <v>1</v>
      </c>
      <c r="AI372">
        <v>0</v>
      </c>
      <c r="AJ372">
        <v>0</v>
      </c>
      <c r="AK372">
        <v>0</v>
      </c>
      <c r="AL372" t="s">
        <v>155</v>
      </c>
      <c r="AM372" t="s">
        <v>275</v>
      </c>
      <c r="AN372">
        <v>-0.22109999999999999</v>
      </c>
      <c r="AO372">
        <v>0.75</v>
      </c>
      <c r="AP372">
        <v>2.7050000000000001</v>
      </c>
      <c r="AQ372">
        <v>0.46</v>
      </c>
      <c r="AR372">
        <v>518</v>
      </c>
      <c r="AS372">
        <v>12.23428313</v>
      </c>
    </row>
    <row r="373" spans="1:45" x14ac:dyDescent="0.2">
      <c r="A373" t="s">
        <v>749</v>
      </c>
      <c r="B373" t="s">
        <v>723</v>
      </c>
      <c r="C373" t="s">
        <v>724</v>
      </c>
      <c r="D373" t="s">
        <v>742</v>
      </c>
      <c r="E373">
        <v>-34.038580000000003</v>
      </c>
      <c r="F373">
        <v>23.0169444</v>
      </c>
      <c r="G373" t="s">
        <v>748</v>
      </c>
      <c r="H373" t="s">
        <v>743</v>
      </c>
      <c r="I373">
        <v>8.9753424660000007</v>
      </c>
      <c r="J373" t="s">
        <v>68</v>
      </c>
      <c r="K373">
        <v>-1.1896423E-2</v>
      </c>
      <c r="L373">
        <v>2.3605710000000001E-3</v>
      </c>
      <c r="M373" t="s">
        <v>68</v>
      </c>
      <c r="N373">
        <v>2.12</v>
      </c>
      <c r="O373">
        <v>1.22</v>
      </c>
      <c r="P373">
        <v>-0.48</v>
      </c>
      <c r="Q373">
        <v>0.9</v>
      </c>
      <c r="R373">
        <v>-0.65</v>
      </c>
      <c r="S373">
        <v>0</v>
      </c>
      <c r="T373">
        <v>1.55</v>
      </c>
      <c r="U373">
        <v>1.36</v>
      </c>
      <c r="V373">
        <v>-0.29677419399999999</v>
      </c>
      <c r="W373">
        <v>-73.849599690000005</v>
      </c>
      <c r="X373">
        <v>119.8495997</v>
      </c>
      <c r="Y373">
        <v>16.150400309999998</v>
      </c>
      <c r="Z373">
        <v>1.231896423</v>
      </c>
      <c r="AA373">
        <v>4.54</v>
      </c>
      <c r="AB373" t="s">
        <v>68</v>
      </c>
      <c r="AC373">
        <v>23</v>
      </c>
      <c r="AD373">
        <v>719</v>
      </c>
      <c r="AE373">
        <v>3.507502449</v>
      </c>
      <c r="AF373">
        <v>1.640390577</v>
      </c>
      <c r="AG373" t="s">
        <v>726</v>
      </c>
      <c r="AH373">
        <v>1</v>
      </c>
      <c r="AI373">
        <v>0</v>
      </c>
      <c r="AJ373">
        <v>0</v>
      </c>
      <c r="AK373">
        <v>0</v>
      </c>
      <c r="AL373" t="s">
        <v>155</v>
      </c>
      <c r="AM373" t="s">
        <v>275</v>
      </c>
      <c r="AN373">
        <v>0.31380000000000002</v>
      </c>
      <c r="AO373">
        <v>0.84</v>
      </c>
      <c r="AP373">
        <v>23.535</v>
      </c>
      <c r="AQ373">
        <v>0.38</v>
      </c>
      <c r="AR373">
        <v>562</v>
      </c>
      <c r="AS373">
        <v>1000</v>
      </c>
    </row>
    <row r="374" spans="1:45" x14ac:dyDescent="0.2">
      <c r="A374" t="s">
        <v>750</v>
      </c>
      <c r="B374" t="s">
        <v>723</v>
      </c>
      <c r="C374" t="s">
        <v>724</v>
      </c>
      <c r="D374" t="s">
        <v>742</v>
      </c>
      <c r="E374">
        <v>-34.025846999999999</v>
      </c>
      <c r="F374">
        <v>22.989722199999999</v>
      </c>
      <c r="G374" t="s">
        <v>71</v>
      </c>
      <c r="H374" t="s">
        <v>743</v>
      </c>
      <c r="I374">
        <v>8.9780821920000005</v>
      </c>
      <c r="J374" t="s">
        <v>68</v>
      </c>
      <c r="K374">
        <v>4.2685883200000001</v>
      </c>
      <c r="L374">
        <v>0.98590206199999997</v>
      </c>
      <c r="M374" t="s">
        <v>68</v>
      </c>
      <c r="N374">
        <v>2.12</v>
      </c>
      <c r="O374">
        <v>1.22</v>
      </c>
      <c r="P374">
        <v>-0.48</v>
      </c>
      <c r="Q374">
        <v>0.9</v>
      </c>
      <c r="R374">
        <v>-0.65</v>
      </c>
      <c r="S374">
        <v>0</v>
      </c>
      <c r="T374">
        <v>1.55</v>
      </c>
      <c r="U374">
        <v>1.36</v>
      </c>
      <c r="V374">
        <v>-0.29677419399999999</v>
      </c>
      <c r="W374">
        <v>-73.849599690000005</v>
      </c>
      <c r="X374">
        <v>119.8495997</v>
      </c>
      <c r="Y374">
        <v>16.150400309999998</v>
      </c>
      <c r="Z374">
        <v>-3.0485883199999999</v>
      </c>
      <c r="AA374">
        <v>12.37</v>
      </c>
      <c r="AB374" t="s">
        <v>68</v>
      </c>
      <c r="AC374">
        <v>23</v>
      </c>
      <c r="AD374">
        <v>719</v>
      </c>
      <c r="AE374">
        <v>4.0007832050000003</v>
      </c>
      <c r="AF374">
        <v>1.818779878</v>
      </c>
      <c r="AG374" t="s">
        <v>726</v>
      </c>
      <c r="AH374">
        <v>1</v>
      </c>
      <c r="AI374">
        <v>0</v>
      </c>
      <c r="AJ374">
        <v>0</v>
      </c>
      <c r="AK374">
        <v>0</v>
      </c>
      <c r="AL374" t="s">
        <v>155</v>
      </c>
      <c r="AM374" t="s">
        <v>275</v>
      </c>
      <c r="AN374">
        <v>-7.6100000000000001E-2</v>
      </c>
      <c r="AO374">
        <v>0.31</v>
      </c>
      <c r="AP374">
        <v>8.7149999999999999</v>
      </c>
      <c r="AQ374">
        <v>0.51</v>
      </c>
      <c r="AR374">
        <v>1000</v>
      </c>
      <c r="AS374">
        <v>114.5203679</v>
      </c>
    </row>
    <row r="375" spans="1:45" x14ac:dyDescent="0.2">
      <c r="A375" t="s">
        <v>751</v>
      </c>
      <c r="B375" t="s">
        <v>723</v>
      </c>
      <c r="C375" t="s">
        <v>724</v>
      </c>
      <c r="D375" t="s">
        <v>742</v>
      </c>
      <c r="E375">
        <v>-34.02548333</v>
      </c>
      <c r="F375">
        <v>22.9894444</v>
      </c>
      <c r="G375" t="s">
        <v>71</v>
      </c>
      <c r="H375" t="s">
        <v>743</v>
      </c>
      <c r="I375">
        <v>8.9780821920000005</v>
      </c>
      <c r="J375" t="s">
        <v>68</v>
      </c>
      <c r="K375">
        <v>1.564672812</v>
      </c>
      <c r="L375">
        <v>0.27064982700000001</v>
      </c>
      <c r="M375" t="s">
        <v>68</v>
      </c>
      <c r="N375">
        <v>2.12</v>
      </c>
      <c r="O375">
        <v>1.22</v>
      </c>
      <c r="P375">
        <v>-0.48</v>
      </c>
      <c r="Q375">
        <v>0.9</v>
      </c>
      <c r="R375">
        <v>-0.65</v>
      </c>
      <c r="S375">
        <v>0</v>
      </c>
      <c r="T375">
        <v>1.55</v>
      </c>
      <c r="U375">
        <v>1.36</v>
      </c>
      <c r="V375">
        <v>-0.29677419399999999</v>
      </c>
      <c r="W375">
        <v>-73.849599690000005</v>
      </c>
      <c r="X375">
        <v>119.8495997</v>
      </c>
      <c r="Y375">
        <v>16.150400309999998</v>
      </c>
      <c r="Z375">
        <v>-0.344672812</v>
      </c>
      <c r="AA375">
        <v>1.75</v>
      </c>
      <c r="AB375" t="s">
        <v>68</v>
      </c>
      <c r="AC375">
        <v>23</v>
      </c>
      <c r="AD375">
        <v>719</v>
      </c>
      <c r="AE375">
        <v>4.0007832050000003</v>
      </c>
      <c r="AF375">
        <v>1.818779878</v>
      </c>
      <c r="AG375" t="s">
        <v>726</v>
      </c>
      <c r="AH375">
        <v>1</v>
      </c>
      <c r="AI375">
        <v>0</v>
      </c>
      <c r="AJ375">
        <v>0</v>
      </c>
      <c r="AK375">
        <v>0</v>
      </c>
      <c r="AL375" t="s">
        <v>155</v>
      </c>
      <c r="AM375" t="s">
        <v>275</v>
      </c>
      <c r="AN375" t="s">
        <v>68</v>
      </c>
      <c r="AO375" t="s">
        <v>68</v>
      </c>
      <c r="AP375" t="s">
        <v>68</v>
      </c>
      <c r="AQ375">
        <v>0.51</v>
      </c>
      <c r="AR375">
        <v>2158</v>
      </c>
      <c r="AS375" t="s">
        <v>68</v>
      </c>
    </row>
    <row r="376" spans="1:45" x14ac:dyDescent="0.2">
      <c r="A376" t="s">
        <v>752</v>
      </c>
      <c r="B376" t="s">
        <v>44</v>
      </c>
      <c r="C376" t="s">
        <v>753</v>
      </c>
      <c r="D376" t="s">
        <v>754</v>
      </c>
      <c r="E376">
        <v>51.085912</v>
      </c>
      <c r="F376">
        <v>4.174442</v>
      </c>
      <c r="G376" s="1">
        <v>38840</v>
      </c>
      <c r="H376" t="s">
        <v>756</v>
      </c>
      <c r="I376">
        <v>13.975342469999999</v>
      </c>
      <c r="J376">
        <v>16.531657790000001</v>
      </c>
      <c r="K376">
        <v>1.2982524449999999</v>
      </c>
      <c r="L376">
        <v>0.96408707699999996</v>
      </c>
      <c r="M376">
        <f t="shared" si="5"/>
        <v>15.233405345000001</v>
      </c>
      <c r="N376">
        <v>2.19</v>
      </c>
      <c r="O376">
        <v>0.92</v>
      </c>
      <c r="P376">
        <v>0.21</v>
      </c>
      <c r="Q376">
        <v>5.6089796339999998</v>
      </c>
      <c r="R376">
        <v>0.13480613</v>
      </c>
      <c r="S376">
        <v>2.87</v>
      </c>
      <c r="T376">
        <v>5.4741735040000004</v>
      </c>
      <c r="U376">
        <v>5.5</v>
      </c>
      <c r="V376">
        <v>1.9907960999999998E-2</v>
      </c>
      <c r="W376">
        <v>-133.1582176</v>
      </c>
      <c r="X376">
        <v>122.26025420000001</v>
      </c>
      <c r="Y376">
        <v>427.73974579999998</v>
      </c>
      <c r="Z376">
        <v>-0.37825244499999999</v>
      </c>
      <c r="AA376">
        <v>11.24</v>
      </c>
      <c r="AB376">
        <v>0.54679719800000004</v>
      </c>
      <c r="AC376">
        <v>11.09928571</v>
      </c>
      <c r="AD376">
        <v>823.01428569999996</v>
      </c>
      <c r="AE376">
        <v>15.97779942</v>
      </c>
      <c r="AF376">
        <v>5.1830418180000004</v>
      </c>
      <c r="AG376" t="s">
        <v>755</v>
      </c>
      <c r="AH376">
        <v>0</v>
      </c>
      <c r="AI376">
        <v>1</v>
      </c>
      <c r="AJ376">
        <v>0</v>
      </c>
      <c r="AK376">
        <v>0</v>
      </c>
      <c r="AL376" t="s">
        <v>54</v>
      </c>
      <c r="AM376" t="s">
        <v>113</v>
      </c>
      <c r="AN376">
        <v>-5.45E-2</v>
      </c>
      <c r="AO376">
        <v>2.4E-2</v>
      </c>
      <c r="AP376">
        <v>68.982500000000002</v>
      </c>
      <c r="AQ376">
        <v>0.02</v>
      </c>
      <c r="AR376">
        <v>1371</v>
      </c>
      <c r="AS376">
        <v>1265.7339449999999</v>
      </c>
    </row>
    <row r="377" spans="1:45" x14ac:dyDescent="0.2">
      <c r="A377" t="s">
        <v>757</v>
      </c>
      <c r="B377" t="s">
        <v>44</v>
      </c>
      <c r="C377" t="s">
        <v>753</v>
      </c>
      <c r="D377" t="s">
        <v>754</v>
      </c>
      <c r="E377">
        <v>51.086216999999998</v>
      </c>
      <c r="F377">
        <v>4.1748440000000002</v>
      </c>
      <c r="G377" s="1">
        <v>38840</v>
      </c>
      <c r="H377" t="s">
        <v>756</v>
      </c>
      <c r="I377">
        <v>13.975342469999999</v>
      </c>
      <c r="J377">
        <v>8.1181003989999994</v>
      </c>
      <c r="K377">
        <v>0.65223220500000001</v>
      </c>
      <c r="L377">
        <v>0.90740363899999998</v>
      </c>
      <c r="M377">
        <f t="shared" si="5"/>
        <v>7.4658681939999996</v>
      </c>
      <c r="N377">
        <v>2.19</v>
      </c>
      <c r="O377">
        <v>0.92</v>
      </c>
      <c r="P377">
        <v>0.21</v>
      </c>
      <c r="Q377">
        <v>5.6089796339999998</v>
      </c>
      <c r="R377">
        <v>0.13480613</v>
      </c>
      <c r="S377">
        <v>2.87</v>
      </c>
      <c r="T377">
        <v>5.4741735040000004</v>
      </c>
      <c r="U377">
        <v>5.8</v>
      </c>
      <c r="V377">
        <v>-3.4894832000000001E-2</v>
      </c>
      <c r="W377">
        <v>-133.1582176</v>
      </c>
      <c r="X377">
        <v>152.26025419999999</v>
      </c>
      <c r="Y377">
        <v>427.73974579999998</v>
      </c>
      <c r="Z377">
        <v>0.26776779499999998</v>
      </c>
      <c r="AA377">
        <v>11.24</v>
      </c>
      <c r="AB377">
        <v>0.558233333</v>
      </c>
      <c r="AC377">
        <v>11.09928571</v>
      </c>
      <c r="AD377">
        <v>823.01428569999996</v>
      </c>
      <c r="AE377">
        <v>15.97779942</v>
      </c>
      <c r="AF377">
        <v>5.1830418180000004</v>
      </c>
      <c r="AG377" t="s">
        <v>758</v>
      </c>
      <c r="AH377">
        <v>0</v>
      </c>
      <c r="AI377">
        <v>1</v>
      </c>
      <c r="AJ377">
        <v>0</v>
      </c>
      <c r="AK377">
        <v>0</v>
      </c>
      <c r="AL377" t="s">
        <v>54</v>
      </c>
      <c r="AM377" t="s">
        <v>113</v>
      </c>
      <c r="AN377">
        <v>2.1000000000000001E-2</v>
      </c>
      <c r="AO377">
        <v>0.17</v>
      </c>
      <c r="AP377">
        <v>41.725000000000001</v>
      </c>
      <c r="AQ377">
        <v>0.02</v>
      </c>
      <c r="AR377">
        <v>990</v>
      </c>
      <c r="AS377">
        <v>1000</v>
      </c>
    </row>
    <row r="378" spans="1:45" x14ac:dyDescent="0.2">
      <c r="A378" t="s">
        <v>759</v>
      </c>
      <c r="B378" t="s">
        <v>44</v>
      </c>
      <c r="C378" t="s">
        <v>753</v>
      </c>
      <c r="D378" t="s">
        <v>754</v>
      </c>
      <c r="E378">
        <v>51.086430999999997</v>
      </c>
      <c r="F378">
        <v>4.1751009999999997</v>
      </c>
      <c r="G378" s="1">
        <v>38840</v>
      </c>
      <c r="H378" t="s">
        <v>756</v>
      </c>
      <c r="I378">
        <v>13.975342469999999</v>
      </c>
      <c r="J378">
        <v>13.429491260000001</v>
      </c>
      <c r="K378">
        <v>0.50590220500000005</v>
      </c>
      <c r="L378">
        <v>0.79757256300000001</v>
      </c>
      <c r="M378">
        <f t="shared" si="5"/>
        <v>12.923589055000001</v>
      </c>
      <c r="N378">
        <v>2.19</v>
      </c>
      <c r="O378">
        <v>0.92</v>
      </c>
      <c r="P378">
        <v>0.21</v>
      </c>
      <c r="Q378">
        <v>5.6089796339999998</v>
      </c>
      <c r="R378">
        <v>0.13480613</v>
      </c>
      <c r="S378">
        <v>2.87</v>
      </c>
      <c r="T378">
        <v>5.4741735040000004</v>
      </c>
      <c r="U378">
        <v>5.75</v>
      </c>
      <c r="V378">
        <v>-2.5761032999999999E-2</v>
      </c>
      <c r="W378">
        <v>-133.1582176</v>
      </c>
      <c r="X378">
        <v>147.26025419999999</v>
      </c>
      <c r="Y378">
        <v>427.73974579999998</v>
      </c>
      <c r="Z378">
        <v>0.41409779499999999</v>
      </c>
      <c r="AA378">
        <v>11.24</v>
      </c>
      <c r="AB378">
        <v>0.6649273</v>
      </c>
      <c r="AC378">
        <v>11.09928571</v>
      </c>
      <c r="AD378">
        <v>823.01428569999996</v>
      </c>
      <c r="AE378">
        <v>15.97779942</v>
      </c>
      <c r="AF378">
        <v>5.1830418180000004</v>
      </c>
      <c r="AG378" t="s">
        <v>760</v>
      </c>
      <c r="AH378">
        <v>0</v>
      </c>
      <c r="AI378">
        <v>1</v>
      </c>
      <c r="AJ378">
        <v>0</v>
      </c>
      <c r="AK378">
        <v>0</v>
      </c>
      <c r="AL378" t="s">
        <v>54</v>
      </c>
      <c r="AM378" t="s">
        <v>113</v>
      </c>
      <c r="AN378">
        <v>-4.4299999999999999E-2</v>
      </c>
      <c r="AO378">
        <v>7.0000000000000007E-2</v>
      </c>
      <c r="AP378">
        <v>11.5025</v>
      </c>
      <c r="AQ378">
        <v>0.02</v>
      </c>
      <c r="AR378">
        <v>874</v>
      </c>
      <c r="AS378">
        <v>259.65011290000001</v>
      </c>
    </row>
    <row r="379" spans="1:45" x14ac:dyDescent="0.2">
      <c r="A379" t="s">
        <v>761</v>
      </c>
      <c r="B379" t="s">
        <v>332</v>
      </c>
      <c r="C379" t="s">
        <v>375</v>
      </c>
      <c r="D379" t="s">
        <v>762</v>
      </c>
      <c r="E379">
        <v>45.01</v>
      </c>
      <c r="F379">
        <v>-64.02</v>
      </c>
      <c r="G379" s="1">
        <v>39600</v>
      </c>
      <c r="H379" s="1">
        <v>41791</v>
      </c>
      <c r="I379">
        <v>6</v>
      </c>
      <c r="J379" t="s">
        <v>68</v>
      </c>
      <c r="K379">
        <v>-0.13462301600000001</v>
      </c>
      <c r="L379">
        <v>0.47505866499999999</v>
      </c>
      <c r="M379" t="s">
        <v>68</v>
      </c>
      <c r="N379">
        <v>2.2000000000000002</v>
      </c>
      <c r="O379">
        <v>-1.51</v>
      </c>
      <c r="P379">
        <v>1.1299999999999999</v>
      </c>
      <c r="Q379">
        <v>6.38</v>
      </c>
      <c r="R379">
        <v>1.38</v>
      </c>
      <c r="S379">
        <v>0</v>
      </c>
      <c r="T379">
        <v>5</v>
      </c>
      <c r="U379">
        <v>7.8</v>
      </c>
      <c r="V379">
        <v>-0.28399999999999997</v>
      </c>
      <c r="W379">
        <v>-128.89952360000001</v>
      </c>
      <c r="X379">
        <v>270.89952360000001</v>
      </c>
      <c r="Y379">
        <v>509.10047639999999</v>
      </c>
      <c r="Z379">
        <v>-1.3753769840000001</v>
      </c>
      <c r="AA379" t="s">
        <v>68</v>
      </c>
      <c r="AB379">
        <v>0.42499999999999999</v>
      </c>
      <c r="AC379">
        <v>12.4</v>
      </c>
      <c r="AD379">
        <v>1060.2</v>
      </c>
      <c r="AE379">
        <v>25.75180585</v>
      </c>
      <c r="AF379">
        <v>15.7783204</v>
      </c>
      <c r="AG379" t="s">
        <v>763</v>
      </c>
      <c r="AH379">
        <v>0</v>
      </c>
      <c r="AI379">
        <v>1</v>
      </c>
      <c r="AJ379">
        <v>1</v>
      </c>
      <c r="AK379">
        <v>0</v>
      </c>
      <c r="AL379" t="s">
        <v>54</v>
      </c>
      <c r="AM379" t="s">
        <v>113</v>
      </c>
      <c r="AN379">
        <v>-4.7600000000000003E-2</v>
      </c>
      <c r="AO379">
        <v>2.5700000000000001E-2</v>
      </c>
      <c r="AP379">
        <v>24.927499999999998</v>
      </c>
      <c r="AQ379">
        <v>0.15</v>
      </c>
      <c r="AR379">
        <v>1160</v>
      </c>
      <c r="AS379">
        <v>523.68697480000003</v>
      </c>
    </row>
    <row r="380" spans="1:45" x14ac:dyDescent="0.2">
      <c r="A380" t="s">
        <v>764</v>
      </c>
      <c r="B380" t="s">
        <v>332</v>
      </c>
      <c r="C380" t="s">
        <v>375</v>
      </c>
      <c r="D380" t="s">
        <v>762</v>
      </c>
      <c r="E380">
        <v>45.01</v>
      </c>
      <c r="F380">
        <v>-64.02</v>
      </c>
      <c r="G380" s="1">
        <v>39600</v>
      </c>
      <c r="H380" s="1">
        <v>41791</v>
      </c>
      <c r="I380">
        <v>6</v>
      </c>
      <c r="J380" t="s">
        <v>68</v>
      </c>
      <c r="K380">
        <v>0.12063492100000001</v>
      </c>
      <c r="L380">
        <v>0.29714895699999999</v>
      </c>
      <c r="M380" t="s">
        <v>68</v>
      </c>
      <c r="N380">
        <v>2.2000000000000002</v>
      </c>
      <c r="O380">
        <v>-1.51</v>
      </c>
      <c r="P380">
        <v>1.1299999999999999</v>
      </c>
      <c r="Q380">
        <v>6.38</v>
      </c>
      <c r="R380">
        <v>1.38</v>
      </c>
      <c r="S380">
        <v>0</v>
      </c>
      <c r="T380">
        <v>5</v>
      </c>
      <c r="U380">
        <v>7.43</v>
      </c>
      <c r="V380">
        <v>-0.21</v>
      </c>
      <c r="W380">
        <v>-128.89952360000001</v>
      </c>
      <c r="X380">
        <v>233.89952360000001</v>
      </c>
      <c r="Y380">
        <v>509.10047639999999</v>
      </c>
      <c r="Z380">
        <v>-1.630634921</v>
      </c>
      <c r="AA380" t="s">
        <v>68</v>
      </c>
      <c r="AB380">
        <v>0.69</v>
      </c>
      <c r="AC380">
        <v>12.4</v>
      </c>
      <c r="AD380">
        <v>1060.2</v>
      </c>
      <c r="AE380">
        <v>25.75180585</v>
      </c>
      <c r="AF380">
        <v>15.7783204</v>
      </c>
      <c r="AG380" t="s">
        <v>765</v>
      </c>
      <c r="AH380">
        <v>0</v>
      </c>
      <c r="AI380">
        <v>0</v>
      </c>
      <c r="AJ380">
        <v>1</v>
      </c>
      <c r="AK380">
        <v>0</v>
      </c>
      <c r="AL380" t="s">
        <v>48</v>
      </c>
      <c r="AM380" t="s">
        <v>113</v>
      </c>
      <c r="AN380">
        <v>-4.7600000000000003E-2</v>
      </c>
      <c r="AO380">
        <v>2.5700000000000001E-2</v>
      </c>
      <c r="AP380">
        <v>24.927499999999998</v>
      </c>
      <c r="AQ380">
        <v>0.15</v>
      </c>
      <c r="AR380">
        <v>1125</v>
      </c>
      <c r="AS380">
        <v>523.68697480000003</v>
      </c>
    </row>
    <row r="381" spans="1:45" x14ac:dyDescent="0.2">
      <c r="A381" t="s">
        <v>766</v>
      </c>
      <c r="B381" t="s">
        <v>332</v>
      </c>
      <c r="C381" t="s">
        <v>375</v>
      </c>
      <c r="D381" t="s">
        <v>767</v>
      </c>
      <c r="E381">
        <v>45.08</v>
      </c>
      <c r="F381">
        <v>-64.12</v>
      </c>
      <c r="G381" s="1">
        <v>39965</v>
      </c>
      <c r="H381" s="1">
        <v>43252</v>
      </c>
      <c r="I381">
        <v>9</v>
      </c>
      <c r="J381" t="s">
        <v>68</v>
      </c>
      <c r="K381">
        <v>0.57879728100000005</v>
      </c>
      <c r="L381">
        <v>0.97495151099999999</v>
      </c>
      <c r="M381" t="s">
        <v>68</v>
      </c>
      <c r="N381">
        <v>2.2000000000000002</v>
      </c>
      <c r="O381">
        <v>-5.18</v>
      </c>
      <c r="P381">
        <v>1.08</v>
      </c>
      <c r="Q381">
        <v>6.6</v>
      </c>
      <c r="R381">
        <v>-6.4</v>
      </c>
      <c r="S381">
        <v>0</v>
      </c>
      <c r="T381">
        <v>13</v>
      </c>
      <c r="U381">
        <v>7.18</v>
      </c>
      <c r="V381">
        <v>-4.4615385E-2</v>
      </c>
      <c r="W381">
        <v>-173.81208899999999</v>
      </c>
      <c r="X381">
        <v>231.81208899999999</v>
      </c>
      <c r="Y381">
        <v>486.18791099999999</v>
      </c>
      <c r="Z381">
        <v>-5.7587972809999997</v>
      </c>
      <c r="AA381" t="s">
        <v>68</v>
      </c>
      <c r="AB381">
        <v>0.97</v>
      </c>
      <c r="AC381">
        <v>12.4</v>
      </c>
      <c r="AD381">
        <v>1060.2</v>
      </c>
      <c r="AE381">
        <v>34.971424970000001</v>
      </c>
      <c r="AF381">
        <v>11.493871520000001</v>
      </c>
      <c r="AG381" t="s">
        <v>768</v>
      </c>
      <c r="AH381">
        <v>0</v>
      </c>
      <c r="AI381">
        <v>1</v>
      </c>
      <c r="AJ381">
        <v>0</v>
      </c>
      <c r="AK381">
        <v>0</v>
      </c>
      <c r="AL381" t="s">
        <v>54</v>
      </c>
      <c r="AM381" t="s">
        <v>113</v>
      </c>
      <c r="AN381">
        <v>1.01</v>
      </c>
      <c r="AO381">
        <v>0.93</v>
      </c>
      <c r="AP381">
        <v>156.77666669999999</v>
      </c>
      <c r="AQ381">
        <v>0.05</v>
      </c>
      <c r="AR381">
        <v>1430</v>
      </c>
      <c r="AS381">
        <v>1000</v>
      </c>
    </row>
    <row r="382" spans="1:45" x14ac:dyDescent="0.2">
      <c r="A382" t="s">
        <v>769</v>
      </c>
      <c r="B382" t="s">
        <v>332</v>
      </c>
      <c r="C382" t="s">
        <v>375</v>
      </c>
      <c r="D382" t="s">
        <v>767</v>
      </c>
      <c r="E382">
        <v>45.08</v>
      </c>
      <c r="F382">
        <v>-64.12</v>
      </c>
      <c r="G382" s="1">
        <v>39965</v>
      </c>
      <c r="H382" s="1">
        <v>43252</v>
      </c>
      <c r="I382">
        <v>9</v>
      </c>
      <c r="J382" t="s">
        <v>68</v>
      </c>
      <c r="K382">
        <v>0.61425088699999997</v>
      </c>
      <c r="L382">
        <v>0.93794275999999999</v>
      </c>
      <c r="M382" t="s">
        <v>68</v>
      </c>
      <c r="N382">
        <v>2.2000000000000002</v>
      </c>
      <c r="O382">
        <v>-5.18</v>
      </c>
      <c r="P382">
        <v>1.08</v>
      </c>
      <c r="Q382">
        <v>6.6</v>
      </c>
      <c r="R382">
        <v>-6.4</v>
      </c>
      <c r="S382">
        <v>0</v>
      </c>
      <c r="T382">
        <v>13</v>
      </c>
      <c r="U382">
        <v>7.2</v>
      </c>
      <c r="V382">
        <v>-4.6153845999999998E-2</v>
      </c>
      <c r="W382">
        <v>-173.81208899999999</v>
      </c>
      <c r="X382">
        <v>233.81208899999999</v>
      </c>
      <c r="Y382">
        <v>486.18791099999999</v>
      </c>
      <c r="Z382">
        <v>-5.7942508869999996</v>
      </c>
      <c r="AA382" t="s">
        <v>68</v>
      </c>
      <c r="AB382">
        <v>0.3</v>
      </c>
      <c r="AC382">
        <v>12.4</v>
      </c>
      <c r="AD382">
        <v>1060.2</v>
      </c>
      <c r="AE382">
        <v>34.971424970000001</v>
      </c>
      <c r="AF382">
        <v>11.493871520000001</v>
      </c>
      <c r="AG382" t="s">
        <v>377</v>
      </c>
      <c r="AH382">
        <v>1</v>
      </c>
      <c r="AI382">
        <v>0</v>
      </c>
      <c r="AJ382">
        <v>0</v>
      </c>
      <c r="AK382">
        <v>0</v>
      </c>
      <c r="AL382" t="s">
        <v>155</v>
      </c>
      <c r="AM382" t="s">
        <v>113</v>
      </c>
      <c r="AN382">
        <v>1.01</v>
      </c>
      <c r="AO382">
        <v>0.93</v>
      </c>
      <c r="AP382">
        <v>156.77666669999999</v>
      </c>
      <c r="AQ382">
        <v>0.05</v>
      </c>
      <c r="AR382">
        <v>1474</v>
      </c>
      <c r="AS382">
        <v>1000</v>
      </c>
    </row>
    <row r="383" spans="1:45" x14ac:dyDescent="0.2">
      <c r="A383" t="s">
        <v>770</v>
      </c>
      <c r="B383" t="s">
        <v>332</v>
      </c>
      <c r="C383" t="s">
        <v>375</v>
      </c>
      <c r="D383" t="s">
        <v>767</v>
      </c>
      <c r="E383">
        <v>45.08</v>
      </c>
      <c r="F383">
        <v>-64.12</v>
      </c>
      <c r="G383" s="1">
        <v>39965</v>
      </c>
      <c r="H383" s="1">
        <v>43252</v>
      </c>
      <c r="I383">
        <v>9</v>
      </c>
      <c r="J383" t="s">
        <v>68</v>
      </c>
      <c r="K383">
        <v>0.58129432599999997</v>
      </c>
      <c r="L383">
        <v>0.88750569999999995</v>
      </c>
      <c r="M383" t="s">
        <v>68</v>
      </c>
      <c r="N383">
        <v>2.2000000000000002</v>
      </c>
      <c r="O383">
        <v>-5.18</v>
      </c>
      <c r="P383">
        <v>1.08</v>
      </c>
      <c r="Q383">
        <v>6.6</v>
      </c>
      <c r="R383">
        <v>-6.4</v>
      </c>
      <c r="S383">
        <v>0</v>
      </c>
      <c r="T383">
        <v>13</v>
      </c>
      <c r="U383">
        <v>7.09</v>
      </c>
      <c r="V383">
        <v>-3.7692308000000001E-2</v>
      </c>
      <c r="W383">
        <v>-173.81208899999999</v>
      </c>
      <c r="X383">
        <v>222.81208899999999</v>
      </c>
      <c r="Y383">
        <v>486.18791099999999</v>
      </c>
      <c r="Z383">
        <v>-5.7612943259999998</v>
      </c>
      <c r="AA383" t="s">
        <v>68</v>
      </c>
      <c r="AB383">
        <v>0.5575</v>
      </c>
      <c r="AC383">
        <v>12.4</v>
      </c>
      <c r="AD383">
        <v>1060.2</v>
      </c>
      <c r="AE383">
        <v>34.971424970000001</v>
      </c>
      <c r="AF383">
        <v>11.493871520000001</v>
      </c>
      <c r="AG383" t="s">
        <v>390</v>
      </c>
      <c r="AH383">
        <v>0</v>
      </c>
      <c r="AI383">
        <v>0</v>
      </c>
      <c r="AJ383">
        <v>1</v>
      </c>
      <c r="AK383">
        <v>0</v>
      </c>
      <c r="AL383" t="s">
        <v>48</v>
      </c>
      <c r="AM383" t="s">
        <v>113</v>
      </c>
      <c r="AN383">
        <v>1.01</v>
      </c>
      <c r="AO383">
        <v>0.93</v>
      </c>
      <c r="AP383">
        <v>156.77666669999999</v>
      </c>
      <c r="AQ383">
        <v>0.05</v>
      </c>
      <c r="AR383">
        <v>1376</v>
      </c>
      <c r="AS383">
        <v>1000</v>
      </c>
    </row>
    <row r="384" spans="1:45" x14ac:dyDescent="0.2">
      <c r="A384" t="s">
        <v>771</v>
      </c>
      <c r="B384" t="s">
        <v>332</v>
      </c>
      <c r="C384" t="s">
        <v>375</v>
      </c>
      <c r="D384" t="s">
        <v>772</v>
      </c>
      <c r="E384">
        <v>45.2</v>
      </c>
      <c r="F384">
        <v>-64.13</v>
      </c>
      <c r="G384" s="1">
        <v>38869</v>
      </c>
      <c r="H384" s="1">
        <v>41061</v>
      </c>
      <c r="I384">
        <v>6</v>
      </c>
      <c r="J384" t="s">
        <v>68</v>
      </c>
      <c r="K384">
        <v>2.80515873</v>
      </c>
      <c r="L384">
        <v>0.802534631</v>
      </c>
      <c r="M384" t="s">
        <v>68</v>
      </c>
      <c r="N384">
        <v>2.2000000000000002</v>
      </c>
      <c r="O384">
        <v>7.23</v>
      </c>
      <c r="P384">
        <v>1.07</v>
      </c>
      <c r="Q384" t="s">
        <v>68</v>
      </c>
      <c r="R384" t="s">
        <v>68</v>
      </c>
      <c r="S384">
        <v>0</v>
      </c>
      <c r="T384" t="s">
        <v>68</v>
      </c>
      <c r="U384">
        <v>5.74</v>
      </c>
      <c r="V384" t="s">
        <v>68</v>
      </c>
      <c r="W384" t="s">
        <v>68</v>
      </c>
      <c r="X384" t="s">
        <v>68</v>
      </c>
      <c r="Y384" t="s">
        <v>68</v>
      </c>
      <c r="Z384">
        <v>4.4248412699999999</v>
      </c>
      <c r="AA384" t="s">
        <v>68</v>
      </c>
      <c r="AB384">
        <v>0.89249999999999996</v>
      </c>
      <c r="AC384">
        <v>12.4</v>
      </c>
      <c r="AD384">
        <v>1060.2</v>
      </c>
      <c r="AE384">
        <v>29.01247493</v>
      </c>
      <c r="AF384">
        <v>10.143712989999999</v>
      </c>
      <c r="AG384" t="s">
        <v>341</v>
      </c>
      <c r="AH384">
        <v>1</v>
      </c>
      <c r="AI384">
        <v>0</v>
      </c>
      <c r="AJ384">
        <v>0</v>
      </c>
      <c r="AK384">
        <v>0</v>
      </c>
      <c r="AL384" t="s">
        <v>155</v>
      </c>
      <c r="AM384" t="s">
        <v>113</v>
      </c>
      <c r="AN384">
        <v>0.05</v>
      </c>
      <c r="AO384">
        <v>0.06</v>
      </c>
      <c r="AP384">
        <v>40.03</v>
      </c>
      <c r="AQ384">
        <v>0.21</v>
      </c>
      <c r="AR384">
        <v>1000</v>
      </c>
      <c r="AS384">
        <v>1000</v>
      </c>
    </row>
    <row r="385" spans="1:45" x14ac:dyDescent="0.2">
      <c r="A385" t="s">
        <v>773</v>
      </c>
      <c r="B385" t="s">
        <v>332</v>
      </c>
      <c r="C385" t="s">
        <v>375</v>
      </c>
      <c r="D385" t="s">
        <v>772</v>
      </c>
      <c r="E385">
        <v>45.2</v>
      </c>
      <c r="F385">
        <v>-64.13</v>
      </c>
      <c r="G385" s="1">
        <v>38869</v>
      </c>
      <c r="H385" s="1">
        <v>41061</v>
      </c>
      <c r="I385">
        <v>6</v>
      </c>
      <c r="J385" t="s">
        <v>68</v>
      </c>
      <c r="K385">
        <v>0.15674603200000001</v>
      </c>
      <c r="L385">
        <v>0.37388451700000003</v>
      </c>
      <c r="M385" t="s">
        <v>68</v>
      </c>
      <c r="N385">
        <v>2.2000000000000002</v>
      </c>
      <c r="O385">
        <v>7.23</v>
      </c>
      <c r="P385">
        <v>1.07</v>
      </c>
      <c r="Q385" t="s">
        <v>68</v>
      </c>
      <c r="R385" t="s">
        <v>68</v>
      </c>
      <c r="S385">
        <v>0</v>
      </c>
      <c r="T385" t="s">
        <v>68</v>
      </c>
      <c r="U385">
        <v>6.07</v>
      </c>
      <c r="V385" t="s">
        <v>68</v>
      </c>
      <c r="W385" t="s">
        <v>68</v>
      </c>
      <c r="X385" t="s">
        <v>68</v>
      </c>
      <c r="Y385" t="s">
        <v>68</v>
      </c>
      <c r="Z385">
        <v>7.0732539680000004</v>
      </c>
      <c r="AA385" t="s">
        <v>68</v>
      </c>
      <c r="AB385">
        <v>0.42499999999999999</v>
      </c>
      <c r="AC385">
        <v>12.4</v>
      </c>
      <c r="AD385">
        <v>1060.2</v>
      </c>
      <c r="AE385">
        <v>29.01247493</v>
      </c>
      <c r="AF385">
        <v>10.143712989999999</v>
      </c>
      <c r="AG385" t="s">
        <v>774</v>
      </c>
      <c r="AH385">
        <v>1</v>
      </c>
      <c r="AI385">
        <v>0</v>
      </c>
      <c r="AJ385">
        <v>1</v>
      </c>
      <c r="AK385">
        <v>0</v>
      </c>
      <c r="AL385" t="s">
        <v>155</v>
      </c>
      <c r="AM385" t="s">
        <v>113</v>
      </c>
      <c r="AN385">
        <v>0.05</v>
      </c>
      <c r="AO385">
        <v>0.06</v>
      </c>
      <c r="AP385">
        <v>40.03</v>
      </c>
      <c r="AQ385">
        <v>0.21</v>
      </c>
      <c r="AR385" t="s">
        <v>68</v>
      </c>
      <c r="AS385">
        <v>1000</v>
      </c>
    </row>
    <row r="386" spans="1:45" x14ac:dyDescent="0.2">
      <c r="A386" t="s">
        <v>775</v>
      </c>
      <c r="B386" t="s">
        <v>332</v>
      </c>
      <c r="C386" t="s">
        <v>375</v>
      </c>
      <c r="D386" t="s">
        <v>772</v>
      </c>
      <c r="E386">
        <v>45.2</v>
      </c>
      <c r="F386">
        <v>-64.13</v>
      </c>
      <c r="G386" s="1">
        <v>38869</v>
      </c>
      <c r="H386" s="1">
        <v>41061</v>
      </c>
      <c r="I386">
        <v>6</v>
      </c>
      <c r="J386" t="s">
        <v>68</v>
      </c>
      <c r="K386">
        <v>0.38630952400000002</v>
      </c>
      <c r="L386">
        <v>0.91151422400000004</v>
      </c>
      <c r="M386" t="s">
        <v>68</v>
      </c>
      <c r="N386">
        <v>2.2000000000000002</v>
      </c>
      <c r="O386">
        <v>7.23</v>
      </c>
      <c r="P386">
        <v>1.07</v>
      </c>
      <c r="Q386" t="s">
        <v>68</v>
      </c>
      <c r="R386" t="s">
        <v>68</v>
      </c>
      <c r="S386">
        <v>0</v>
      </c>
      <c r="T386" t="s">
        <v>68</v>
      </c>
      <c r="U386">
        <v>6.02</v>
      </c>
      <c r="V386" t="s">
        <v>68</v>
      </c>
      <c r="W386" t="s">
        <v>68</v>
      </c>
      <c r="X386" t="s">
        <v>68</v>
      </c>
      <c r="Y386" t="s">
        <v>68</v>
      </c>
      <c r="Z386">
        <v>6.8436904759999999</v>
      </c>
      <c r="AA386" t="s">
        <v>68</v>
      </c>
      <c r="AB386">
        <v>0.46500000000000002</v>
      </c>
      <c r="AC386">
        <v>12.4</v>
      </c>
      <c r="AD386">
        <v>1060.2</v>
      </c>
      <c r="AE386">
        <v>29.01247493</v>
      </c>
      <c r="AF386">
        <v>10.143712989999999</v>
      </c>
      <c r="AG386" t="s">
        <v>377</v>
      </c>
      <c r="AH386">
        <v>1</v>
      </c>
      <c r="AI386">
        <v>0</v>
      </c>
      <c r="AJ386">
        <v>0</v>
      </c>
      <c r="AK386">
        <v>0</v>
      </c>
      <c r="AL386" t="s">
        <v>155</v>
      </c>
      <c r="AM386" t="s">
        <v>113</v>
      </c>
      <c r="AN386">
        <v>0.05</v>
      </c>
      <c r="AO386">
        <v>0.06</v>
      </c>
      <c r="AP386">
        <v>40.03</v>
      </c>
      <c r="AQ386">
        <v>0.21</v>
      </c>
      <c r="AR386" t="s">
        <v>68</v>
      </c>
      <c r="AS386">
        <v>1000</v>
      </c>
    </row>
    <row r="387" spans="1:45" x14ac:dyDescent="0.2">
      <c r="A387" t="s">
        <v>776</v>
      </c>
      <c r="B387" t="s">
        <v>332</v>
      </c>
      <c r="C387" t="s">
        <v>375</v>
      </c>
      <c r="D387" t="s">
        <v>777</v>
      </c>
      <c r="E387">
        <v>45.22</v>
      </c>
      <c r="F387">
        <v>-64</v>
      </c>
      <c r="G387" s="1">
        <v>38504</v>
      </c>
      <c r="H387" s="1">
        <v>41061</v>
      </c>
      <c r="I387">
        <v>7</v>
      </c>
      <c r="J387" t="s">
        <v>68</v>
      </c>
      <c r="K387">
        <v>1.928323413</v>
      </c>
      <c r="L387">
        <v>0.47383312399999999</v>
      </c>
      <c r="M387" t="s">
        <v>68</v>
      </c>
      <c r="N387">
        <v>2.2000000000000002</v>
      </c>
      <c r="O387">
        <v>4.34</v>
      </c>
      <c r="P387">
        <v>1.1200000000000001</v>
      </c>
      <c r="Q387">
        <v>6.38</v>
      </c>
      <c r="R387">
        <v>1.38</v>
      </c>
      <c r="S387">
        <v>0</v>
      </c>
      <c r="T387">
        <v>5</v>
      </c>
      <c r="U387">
        <v>6.72</v>
      </c>
      <c r="V387">
        <v>-6.8000000000000005E-2</v>
      </c>
      <c r="W387">
        <v>-128.89952360000001</v>
      </c>
      <c r="X387">
        <v>162.89952360000001</v>
      </c>
      <c r="Y387">
        <v>509.10047639999999</v>
      </c>
      <c r="Z387">
        <v>2.4116765870000001</v>
      </c>
      <c r="AA387" t="s">
        <v>68</v>
      </c>
      <c r="AB387">
        <v>0.47749999999999998</v>
      </c>
      <c r="AC387">
        <v>12.4</v>
      </c>
      <c r="AD387">
        <v>1060.2</v>
      </c>
      <c r="AE387">
        <v>17.091981279999999</v>
      </c>
      <c r="AF387">
        <v>12.574301050000001</v>
      </c>
      <c r="AG387" t="s">
        <v>778</v>
      </c>
      <c r="AH387">
        <v>1</v>
      </c>
      <c r="AI387">
        <v>0</v>
      </c>
      <c r="AJ387">
        <v>1</v>
      </c>
      <c r="AK387">
        <v>0</v>
      </c>
      <c r="AL387" t="s">
        <v>155</v>
      </c>
      <c r="AM387" t="s">
        <v>113</v>
      </c>
      <c r="AN387">
        <v>5.3600000000000002E-2</v>
      </c>
      <c r="AO387">
        <v>0.24</v>
      </c>
      <c r="AP387">
        <v>47.725000000000001</v>
      </c>
      <c r="AQ387">
        <v>0.03</v>
      </c>
      <c r="AR387">
        <v>5996</v>
      </c>
      <c r="AS387">
        <v>1000</v>
      </c>
    </row>
    <row r="388" spans="1:45" x14ac:dyDescent="0.2">
      <c r="A388" t="s">
        <v>779</v>
      </c>
      <c r="B388" t="s">
        <v>332</v>
      </c>
      <c r="C388" t="s">
        <v>375</v>
      </c>
      <c r="D388" t="s">
        <v>777</v>
      </c>
      <c r="E388">
        <v>45.22</v>
      </c>
      <c r="F388">
        <v>-64</v>
      </c>
      <c r="G388" s="1">
        <v>38869</v>
      </c>
      <c r="H388" s="1">
        <v>41061</v>
      </c>
      <c r="I388">
        <v>6</v>
      </c>
      <c r="J388" t="s">
        <v>68</v>
      </c>
      <c r="K388">
        <v>0.35638888899999999</v>
      </c>
      <c r="L388">
        <v>0.79285921699999995</v>
      </c>
      <c r="M388" t="s">
        <v>68</v>
      </c>
      <c r="N388">
        <v>2.2000000000000002</v>
      </c>
      <c r="O388">
        <v>4.34</v>
      </c>
      <c r="P388">
        <v>1.1200000000000001</v>
      </c>
      <c r="Q388">
        <v>6.38</v>
      </c>
      <c r="R388">
        <v>1.38</v>
      </c>
      <c r="S388">
        <v>0</v>
      </c>
      <c r="T388">
        <v>5</v>
      </c>
      <c r="U388">
        <v>6.37</v>
      </c>
      <c r="V388">
        <v>2E-3</v>
      </c>
      <c r="W388">
        <v>-128.89952360000001</v>
      </c>
      <c r="X388">
        <v>127.89952359999999</v>
      </c>
      <c r="Y388">
        <v>509.10047639999999</v>
      </c>
      <c r="Z388">
        <v>3.9836111110000001</v>
      </c>
      <c r="AA388" t="s">
        <v>68</v>
      </c>
      <c r="AB388">
        <v>0.38500000000000001</v>
      </c>
      <c r="AC388">
        <v>12.4</v>
      </c>
      <c r="AD388">
        <v>1060.2</v>
      </c>
      <c r="AE388">
        <v>17.091981279999999</v>
      </c>
      <c r="AF388">
        <v>12.574301050000001</v>
      </c>
      <c r="AG388" t="s">
        <v>377</v>
      </c>
      <c r="AH388">
        <v>1</v>
      </c>
      <c r="AI388">
        <v>0</v>
      </c>
      <c r="AJ388">
        <v>0</v>
      </c>
      <c r="AK388">
        <v>0</v>
      </c>
      <c r="AL388" t="s">
        <v>155</v>
      </c>
      <c r="AM388" t="s">
        <v>113</v>
      </c>
      <c r="AN388">
        <v>5.3600000000000002E-2</v>
      </c>
      <c r="AO388">
        <v>0.24</v>
      </c>
      <c r="AP388">
        <v>47.725000000000001</v>
      </c>
      <c r="AQ388">
        <v>0.03</v>
      </c>
      <c r="AR388">
        <v>694</v>
      </c>
      <c r="AS388">
        <v>1000</v>
      </c>
    </row>
    <row r="389" spans="1:45" x14ac:dyDescent="0.2">
      <c r="A389" t="s">
        <v>780</v>
      </c>
      <c r="B389" t="s">
        <v>168</v>
      </c>
      <c r="C389" t="s">
        <v>169</v>
      </c>
      <c r="D389" t="s">
        <v>781</v>
      </c>
      <c r="E389">
        <v>29.768509999999999</v>
      </c>
      <c r="F389">
        <v>-84.87908333</v>
      </c>
      <c r="G389" s="1">
        <v>41039</v>
      </c>
      <c r="H389" t="s">
        <v>782</v>
      </c>
      <c r="I389">
        <v>5.5342465750000001</v>
      </c>
      <c r="J389">
        <v>1.72</v>
      </c>
      <c r="K389">
        <v>1.208</v>
      </c>
      <c r="L389" t="s">
        <v>68</v>
      </c>
      <c r="M389">
        <f t="shared" ref="M389:M450" si="6">+J389-K389</f>
        <v>0.51200000000000001</v>
      </c>
      <c r="N389">
        <v>2.7</v>
      </c>
      <c r="O389">
        <v>10.63</v>
      </c>
      <c r="P389">
        <v>1.0509999999999999</v>
      </c>
      <c r="Q389">
        <v>0.23</v>
      </c>
      <c r="R389">
        <v>-0.11</v>
      </c>
      <c r="S389">
        <v>5.8999999999999997E-2</v>
      </c>
      <c r="T389">
        <v>0.34</v>
      </c>
      <c r="U389">
        <v>0.47499999999999998</v>
      </c>
      <c r="V389">
        <v>-0.72058823500000002</v>
      </c>
      <c r="W389">
        <v>2.5000000000000001E-2</v>
      </c>
      <c r="X389">
        <v>0.27100000000000002</v>
      </c>
      <c r="Y389">
        <v>0.20399999999999999</v>
      </c>
      <c r="Z389">
        <v>9.4220000000000006</v>
      </c>
      <c r="AA389" t="s">
        <v>68</v>
      </c>
      <c r="AB389" t="s">
        <v>68</v>
      </c>
      <c r="AC389">
        <v>24.6</v>
      </c>
      <c r="AD389">
        <v>1195</v>
      </c>
      <c r="AE389">
        <v>13.00238021</v>
      </c>
      <c r="AF389" t="s">
        <v>68</v>
      </c>
      <c r="AG389" t="s">
        <v>68</v>
      </c>
      <c r="AH389" t="s">
        <v>68</v>
      </c>
      <c r="AI389" t="s">
        <v>68</v>
      </c>
      <c r="AJ389" t="s">
        <v>68</v>
      </c>
      <c r="AK389" t="s">
        <v>68</v>
      </c>
      <c r="AL389" t="s">
        <v>68</v>
      </c>
      <c r="AM389" t="s">
        <v>146</v>
      </c>
      <c r="AN389">
        <v>-0.36499999999999999</v>
      </c>
      <c r="AO389" t="s">
        <v>68</v>
      </c>
      <c r="AP389">
        <v>113</v>
      </c>
      <c r="AQ389">
        <v>0.02</v>
      </c>
      <c r="AR389">
        <v>182</v>
      </c>
      <c r="AS389">
        <v>309.58904109999997</v>
      </c>
    </row>
    <row r="390" spans="1:45" x14ac:dyDescent="0.2">
      <c r="A390" t="s">
        <v>783</v>
      </c>
      <c r="B390" t="s">
        <v>168</v>
      </c>
      <c r="C390" t="s">
        <v>169</v>
      </c>
      <c r="D390" t="s">
        <v>781</v>
      </c>
      <c r="E390">
        <v>29.765129999999999</v>
      </c>
      <c r="F390">
        <v>-84.879589999999993</v>
      </c>
      <c r="G390" t="s">
        <v>784</v>
      </c>
      <c r="H390" t="s">
        <v>785</v>
      </c>
      <c r="I390">
        <v>5.5753424660000004</v>
      </c>
      <c r="J390">
        <v>2.0099999999999998</v>
      </c>
      <c r="K390">
        <v>3.5939999999999999</v>
      </c>
      <c r="L390" t="s">
        <v>68</v>
      </c>
      <c r="M390">
        <f t="shared" si="6"/>
        <v>-1.5840000000000001</v>
      </c>
      <c r="N390">
        <v>2.7</v>
      </c>
      <c r="O390">
        <v>10.63</v>
      </c>
      <c r="P390">
        <v>1.0509999999999999</v>
      </c>
      <c r="Q390">
        <v>0.23</v>
      </c>
      <c r="R390">
        <v>-0.11</v>
      </c>
      <c r="S390">
        <v>5.8999999999999997E-2</v>
      </c>
      <c r="T390">
        <v>0.34</v>
      </c>
      <c r="U390">
        <v>0.55000000000000004</v>
      </c>
      <c r="V390">
        <v>-0.94117647100000001</v>
      </c>
      <c r="W390">
        <v>2.5000000000000001E-2</v>
      </c>
      <c r="X390">
        <v>0.34599999999999997</v>
      </c>
      <c r="Y390">
        <v>0.20399999999999999</v>
      </c>
      <c r="Z390">
        <v>7.0359999999999996</v>
      </c>
      <c r="AA390" t="s">
        <v>68</v>
      </c>
      <c r="AB390" t="s">
        <v>68</v>
      </c>
      <c r="AC390">
        <v>24.6</v>
      </c>
      <c r="AD390">
        <v>1195</v>
      </c>
      <c r="AE390">
        <v>13.00238021</v>
      </c>
      <c r="AF390" t="s">
        <v>68</v>
      </c>
      <c r="AG390" t="s">
        <v>68</v>
      </c>
      <c r="AH390" t="s">
        <v>68</v>
      </c>
      <c r="AI390" t="s">
        <v>68</v>
      </c>
      <c r="AJ390" t="s">
        <v>68</v>
      </c>
      <c r="AK390" t="s">
        <v>68</v>
      </c>
      <c r="AL390" t="s">
        <v>68</v>
      </c>
      <c r="AM390" t="s">
        <v>146</v>
      </c>
      <c r="AN390">
        <v>-0.36499999999999999</v>
      </c>
      <c r="AO390" t="s">
        <v>68</v>
      </c>
      <c r="AP390">
        <v>113</v>
      </c>
      <c r="AQ390">
        <v>0.02</v>
      </c>
      <c r="AR390">
        <v>1000</v>
      </c>
      <c r="AS390">
        <v>309.58904109999997</v>
      </c>
    </row>
    <row r="391" spans="1:45" x14ac:dyDescent="0.2">
      <c r="A391" t="s">
        <v>786</v>
      </c>
      <c r="B391" t="s">
        <v>168</v>
      </c>
      <c r="C391" t="s">
        <v>169</v>
      </c>
      <c r="D391" t="s">
        <v>781</v>
      </c>
      <c r="E391">
        <v>29.768555559999999</v>
      </c>
      <c r="F391">
        <v>-84.87908333</v>
      </c>
      <c r="G391" t="s">
        <v>787</v>
      </c>
      <c r="H391" t="s">
        <v>782</v>
      </c>
      <c r="I391">
        <v>5.4958904110000004</v>
      </c>
      <c r="J391">
        <v>1.46</v>
      </c>
      <c r="K391">
        <v>0.20100000000000001</v>
      </c>
      <c r="L391" t="s">
        <v>68</v>
      </c>
      <c r="M391">
        <f t="shared" si="6"/>
        <v>1.2589999999999999</v>
      </c>
      <c r="N391">
        <v>2.7</v>
      </c>
      <c r="O391">
        <v>10.63</v>
      </c>
      <c r="P391">
        <v>1.0509999999999999</v>
      </c>
      <c r="Q391">
        <v>0.23</v>
      </c>
      <c r="R391">
        <v>-0.11</v>
      </c>
      <c r="S391">
        <v>5.8999999999999997E-2</v>
      </c>
      <c r="T391">
        <v>0.34</v>
      </c>
      <c r="U391">
        <v>0.47</v>
      </c>
      <c r="V391">
        <v>-0.70588235300000002</v>
      </c>
      <c r="W391">
        <v>2.5000000000000001E-2</v>
      </c>
      <c r="X391">
        <v>0.26600000000000001</v>
      </c>
      <c r="Y391">
        <v>0.20399999999999999</v>
      </c>
      <c r="Z391">
        <v>10.429</v>
      </c>
      <c r="AA391" t="s">
        <v>68</v>
      </c>
      <c r="AB391" t="s">
        <v>68</v>
      </c>
      <c r="AC391">
        <v>24.6</v>
      </c>
      <c r="AD391">
        <v>1195</v>
      </c>
      <c r="AE391">
        <v>13.00238021</v>
      </c>
      <c r="AF391" t="s">
        <v>68</v>
      </c>
      <c r="AG391" t="s">
        <v>68</v>
      </c>
      <c r="AH391" t="s">
        <v>68</v>
      </c>
      <c r="AI391" t="s">
        <v>68</v>
      </c>
      <c r="AJ391" t="s">
        <v>68</v>
      </c>
      <c r="AK391" t="s">
        <v>68</v>
      </c>
      <c r="AL391" t="s">
        <v>68</v>
      </c>
      <c r="AM391" t="s">
        <v>146</v>
      </c>
      <c r="AN391">
        <v>-2.92</v>
      </c>
      <c r="AO391" t="s">
        <v>68</v>
      </c>
      <c r="AP391">
        <v>112</v>
      </c>
      <c r="AQ391">
        <v>0.02</v>
      </c>
      <c r="AR391">
        <v>106</v>
      </c>
      <c r="AS391">
        <v>38.356164380000003</v>
      </c>
    </row>
    <row r="392" spans="1:45" x14ac:dyDescent="0.2">
      <c r="A392" t="s">
        <v>788</v>
      </c>
      <c r="B392" t="s">
        <v>168</v>
      </c>
      <c r="C392" t="s">
        <v>169</v>
      </c>
      <c r="D392" t="s">
        <v>781</v>
      </c>
      <c r="E392">
        <v>29.770083329999999</v>
      </c>
      <c r="F392">
        <v>-84.877694439999999</v>
      </c>
      <c r="G392" t="s">
        <v>789</v>
      </c>
      <c r="H392" t="s">
        <v>790</v>
      </c>
      <c r="I392">
        <v>5.5013698629999999</v>
      </c>
      <c r="J392">
        <v>3.7229999999999999</v>
      </c>
      <c r="K392">
        <v>3.6869999999999998</v>
      </c>
      <c r="L392" t="s">
        <v>68</v>
      </c>
      <c r="M392">
        <f t="shared" si="6"/>
        <v>3.6000000000000032E-2</v>
      </c>
      <c r="N392">
        <v>2.7</v>
      </c>
      <c r="O392">
        <v>10.63</v>
      </c>
      <c r="P392">
        <v>1.0509999999999999</v>
      </c>
      <c r="Q392">
        <v>0.23</v>
      </c>
      <c r="R392">
        <v>-0.11</v>
      </c>
      <c r="S392">
        <v>5.8999999999999997E-2</v>
      </c>
      <c r="T392">
        <v>0.34</v>
      </c>
      <c r="U392">
        <v>0.44500000000000001</v>
      </c>
      <c r="V392">
        <v>-0.63235294099999995</v>
      </c>
      <c r="W392">
        <v>2.5000000000000001E-2</v>
      </c>
      <c r="X392">
        <v>0.24099999999999999</v>
      </c>
      <c r="Y392">
        <v>0.20399999999999999</v>
      </c>
      <c r="Z392">
        <v>6.9429999999999996</v>
      </c>
      <c r="AA392" t="s">
        <v>68</v>
      </c>
      <c r="AB392" t="s">
        <v>68</v>
      </c>
      <c r="AC392">
        <v>24.6</v>
      </c>
      <c r="AD392">
        <v>1195</v>
      </c>
      <c r="AE392">
        <v>13.00238021</v>
      </c>
      <c r="AF392" t="s">
        <v>68</v>
      </c>
      <c r="AG392" t="s">
        <v>68</v>
      </c>
      <c r="AH392" t="s">
        <v>68</v>
      </c>
      <c r="AI392" t="s">
        <v>68</v>
      </c>
      <c r="AJ392" t="s">
        <v>68</v>
      </c>
      <c r="AK392" t="s">
        <v>68</v>
      </c>
      <c r="AL392" t="s">
        <v>68</v>
      </c>
      <c r="AM392" t="s">
        <v>146</v>
      </c>
      <c r="AN392">
        <v>-0.80300000000000005</v>
      </c>
      <c r="AO392" t="s">
        <v>68</v>
      </c>
      <c r="AP392">
        <v>96.03</v>
      </c>
      <c r="AQ392">
        <v>7.0000000000000007E-2</v>
      </c>
      <c r="AR392">
        <v>1000</v>
      </c>
      <c r="AS392">
        <v>119.5890411</v>
      </c>
    </row>
    <row r="393" spans="1:45" x14ac:dyDescent="0.2">
      <c r="A393" t="s">
        <v>791</v>
      </c>
      <c r="B393" t="s">
        <v>168</v>
      </c>
      <c r="C393" t="s">
        <v>169</v>
      </c>
      <c r="D393" t="s">
        <v>781</v>
      </c>
      <c r="E393">
        <v>29.770111109999998</v>
      </c>
      <c r="F393">
        <v>-84.87763889</v>
      </c>
      <c r="G393" t="s">
        <v>789</v>
      </c>
      <c r="H393" t="s">
        <v>790</v>
      </c>
      <c r="I393">
        <v>5.5013698629999999</v>
      </c>
      <c r="J393">
        <v>5</v>
      </c>
      <c r="K393">
        <v>5.5609999999999999</v>
      </c>
      <c r="L393" t="s">
        <v>68</v>
      </c>
      <c r="M393">
        <f t="shared" si="6"/>
        <v>-0.56099999999999994</v>
      </c>
      <c r="N393">
        <v>2.7</v>
      </c>
      <c r="O393">
        <v>10.63</v>
      </c>
      <c r="P393">
        <v>1.0509999999999999</v>
      </c>
      <c r="Q393">
        <v>0.23</v>
      </c>
      <c r="R393">
        <v>-0.11</v>
      </c>
      <c r="S393">
        <v>5.8999999999999997E-2</v>
      </c>
      <c r="T393">
        <v>0.34</v>
      </c>
      <c r="U393">
        <v>0.43</v>
      </c>
      <c r="V393">
        <v>-0.58823529399999996</v>
      </c>
      <c r="W393">
        <v>2.5000000000000001E-2</v>
      </c>
      <c r="X393">
        <v>0.22600000000000001</v>
      </c>
      <c r="Y393">
        <v>0.20399999999999999</v>
      </c>
      <c r="Z393">
        <v>5.069</v>
      </c>
      <c r="AA393" t="s">
        <v>68</v>
      </c>
      <c r="AB393" t="s">
        <v>68</v>
      </c>
      <c r="AC393">
        <v>24.6</v>
      </c>
      <c r="AD393">
        <v>1195</v>
      </c>
      <c r="AE393">
        <v>13.00238021</v>
      </c>
      <c r="AF393" t="s">
        <v>68</v>
      </c>
      <c r="AG393" t="s">
        <v>68</v>
      </c>
      <c r="AH393" t="s">
        <v>68</v>
      </c>
      <c r="AI393" t="s">
        <v>68</v>
      </c>
      <c r="AJ393" t="s">
        <v>68</v>
      </c>
      <c r="AK393" t="s">
        <v>68</v>
      </c>
      <c r="AL393" t="s">
        <v>68</v>
      </c>
      <c r="AM393" t="s">
        <v>146</v>
      </c>
      <c r="AN393">
        <v>-0.80300000000000005</v>
      </c>
      <c r="AO393" t="s">
        <v>68</v>
      </c>
      <c r="AP393">
        <v>96.03</v>
      </c>
      <c r="AQ393">
        <v>7.0000000000000007E-2</v>
      </c>
      <c r="AR393">
        <v>1000</v>
      </c>
      <c r="AS393">
        <v>119.5890411</v>
      </c>
    </row>
    <row r="394" spans="1:45" x14ac:dyDescent="0.2">
      <c r="A394" t="s">
        <v>792</v>
      </c>
      <c r="B394" t="s">
        <v>168</v>
      </c>
      <c r="C394" t="s">
        <v>169</v>
      </c>
      <c r="D394" t="s">
        <v>781</v>
      </c>
      <c r="E394">
        <v>29.768555559999999</v>
      </c>
      <c r="F394">
        <v>-84.880861109999998</v>
      </c>
      <c r="G394" s="1">
        <v>41551</v>
      </c>
      <c r="H394" t="s">
        <v>782</v>
      </c>
      <c r="I394">
        <v>5.0219178080000004</v>
      </c>
      <c r="J394">
        <v>1.3</v>
      </c>
      <c r="K394">
        <v>0.22500000000000001</v>
      </c>
      <c r="L394" t="s">
        <v>68</v>
      </c>
      <c r="M394">
        <f t="shared" si="6"/>
        <v>1.075</v>
      </c>
      <c r="N394">
        <v>2.7</v>
      </c>
      <c r="O394">
        <v>10.63</v>
      </c>
      <c r="P394">
        <v>1.0509999999999999</v>
      </c>
      <c r="Q394">
        <v>0.23</v>
      </c>
      <c r="R394">
        <v>-0.11</v>
      </c>
      <c r="S394">
        <v>5.8999999999999997E-2</v>
      </c>
      <c r="T394">
        <v>0.34</v>
      </c>
      <c r="U394">
        <v>0.5</v>
      </c>
      <c r="V394">
        <v>-0.79411764699999998</v>
      </c>
      <c r="W394">
        <v>2.5000000000000001E-2</v>
      </c>
      <c r="X394">
        <v>0.29599999999999999</v>
      </c>
      <c r="Y394">
        <v>0.20399999999999999</v>
      </c>
      <c r="Z394">
        <v>10.404999999999999</v>
      </c>
      <c r="AA394" t="s">
        <v>68</v>
      </c>
      <c r="AB394" t="s">
        <v>68</v>
      </c>
      <c r="AC394">
        <v>24.6</v>
      </c>
      <c r="AD394">
        <v>1195</v>
      </c>
      <c r="AE394">
        <v>13.00238021</v>
      </c>
      <c r="AF394" t="s">
        <v>68</v>
      </c>
      <c r="AG394" t="s">
        <v>68</v>
      </c>
      <c r="AH394" t="s">
        <v>68</v>
      </c>
      <c r="AI394" t="s">
        <v>68</v>
      </c>
      <c r="AJ394" t="s">
        <v>68</v>
      </c>
      <c r="AK394" t="s">
        <v>68</v>
      </c>
      <c r="AL394" t="s">
        <v>68</v>
      </c>
      <c r="AM394" t="s">
        <v>146</v>
      </c>
      <c r="AN394">
        <v>-0.62</v>
      </c>
      <c r="AO394" t="s">
        <v>68</v>
      </c>
      <c r="AP394">
        <v>39</v>
      </c>
      <c r="AQ394">
        <v>0.21</v>
      </c>
      <c r="AR394">
        <v>120</v>
      </c>
      <c r="AS394">
        <v>62.903225810000002</v>
      </c>
    </row>
    <row r="395" spans="1:45" x14ac:dyDescent="0.2">
      <c r="A395" t="s">
        <v>793</v>
      </c>
      <c r="B395" t="s">
        <v>168</v>
      </c>
      <c r="C395" t="s">
        <v>169</v>
      </c>
      <c r="D395" t="s">
        <v>781</v>
      </c>
      <c r="E395">
        <v>29.76847222</v>
      </c>
      <c r="F395">
        <v>-84.880916670000005</v>
      </c>
      <c r="G395" s="1">
        <v>41551</v>
      </c>
      <c r="H395" t="s">
        <v>782</v>
      </c>
      <c r="I395">
        <v>5.0219178080000004</v>
      </c>
      <c r="J395">
        <v>0.47</v>
      </c>
      <c r="K395">
        <v>-7.0999999999999994E-2</v>
      </c>
      <c r="L395" t="s">
        <v>68</v>
      </c>
      <c r="M395">
        <f t="shared" si="6"/>
        <v>0.54099999999999993</v>
      </c>
      <c r="N395">
        <v>2.7</v>
      </c>
      <c r="O395">
        <v>10.63</v>
      </c>
      <c r="P395">
        <v>1.0509999999999999</v>
      </c>
      <c r="Q395">
        <v>0.23</v>
      </c>
      <c r="R395">
        <v>-0.11</v>
      </c>
      <c r="S395">
        <v>5.8999999999999997E-2</v>
      </c>
      <c r="T395">
        <v>0.34</v>
      </c>
      <c r="U395">
        <v>0.56000000000000005</v>
      </c>
      <c r="V395">
        <v>-0.97058823500000002</v>
      </c>
      <c r="W395">
        <v>2.5000000000000001E-2</v>
      </c>
      <c r="X395">
        <v>0.35599999999999998</v>
      </c>
      <c r="Y395">
        <v>0.20399999999999999</v>
      </c>
      <c r="Z395">
        <v>10.701000000000001</v>
      </c>
      <c r="AA395" t="s">
        <v>68</v>
      </c>
      <c r="AB395" t="s">
        <v>68</v>
      </c>
      <c r="AC395">
        <v>24.6</v>
      </c>
      <c r="AD395">
        <v>1195</v>
      </c>
      <c r="AE395">
        <v>13.00238021</v>
      </c>
      <c r="AF395" t="s">
        <v>68</v>
      </c>
      <c r="AG395" t="s">
        <v>68</v>
      </c>
      <c r="AH395" t="s">
        <v>68</v>
      </c>
      <c r="AI395" t="s">
        <v>68</v>
      </c>
      <c r="AJ395" t="s">
        <v>68</v>
      </c>
      <c r="AK395" t="s">
        <v>68</v>
      </c>
      <c r="AL395" t="s">
        <v>68</v>
      </c>
      <c r="AM395" t="s">
        <v>146</v>
      </c>
      <c r="AN395">
        <v>-0.62</v>
      </c>
      <c r="AO395" t="s">
        <v>68</v>
      </c>
      <c r="AP395">
        <v>39</v>
      </c>
      <c r="AQ395">
        <v>0.21</v>
      </c>
      <c r="AR395">
        <v>128</v>
      </c>
      <c r="AS395">
        <v>62.903225810000002</v>
      </c>
    </row>
    <row r="396" spans="1:45" x14ac:dyDescent="0.2">
      <c r="A396" t="s">
        <v>794</v>
      </c>
      <c r="B396" t="s">
        <v>168</v>
      </c>
      <c r="C396" t="s">
        <v>169</v>
      </c>
      <c r="D396" t="s">
        <v>781</v>
      </c>
      <c r="E396">
        <v>29.771055560000001</v>
      </c>
      <c r="F396">
        <v>-84.877027780000006</v>
      </c>
      <c r="G396" t="s">
        <v>789</v>
      </c>
      <c r="H396" t="s">
        <v>790</v>
      </c>
      <c r="I396">
        <v>5.5013698629999999</v>
      </c>
      <c r="J396">
        <v>2.2629999999999999</v>
      </c>
      <c r="K396">
        <v>2.7909999999999999</v>
      </c>
      <c r="L396" t="s">
        <v>68</v>
      </c>
      <c r="M396">
        <f t="shared" si="6"/>
        <v>-0.52800000000000002</v>
      </c>
      <c r="N396">
        <v>2.7</v>
      </c>
      <c r="O396">
        <v>10.63</v>
      </c>
      <c r="P396">
        <v>1.0509999999999999</v>
      </c>
      <c r="Q396">
        <v>0.23</v>
      </c>
      <c r="R396">
        <v>-0.11</v>
      </c>
      <c r="S396">
        <v>5.8999999999999997E-2</v>
      </c>
      <c r="T396">
        <v>0.34</v>
      </c>
      <c r="U396">
        <v>0.42499999999999999</v>
      </c>
      <c r="V396">
        <v>-0.57352941199999996</v>
      </c>
      <c r="W396">
        <v>2.5000000000000001E-2</v>
      </c>
      <c r="X396">
        <v>0.221</v>
      </c>
      <c r="Y396">
        <v>0.20399999999999999</v>
      </c>
      <c r="Z396">
        <v>7.8390000000000004</v>
      </c>
      <c r="AA396" t="s">
        <v>68</v>
      </c>
      <c r="AB396" t="s">
        <v>68</v>
      </c>
      <c r="AC396">
        <v>24.6</v>
      </c>
      <c r="AD396">
        <v>1195</v>
      </c>
      <c r="AE396">
        <v>13.00238021</v>
      </c>
      <c r="AF396" t="s">
        <v>68</v>
      </c>
      <c r="AG396" t="s">
        <v>68</v>
      </c>
      <c r="AH396" t="s">
        <v>68</v>
      </c>
      <c r="AI396" t="s">
        <v>68</v>
      </c>
      <c r="AJ396" t="s">
        <v>68</v>
      </c>
      <c r="AK396" t="s">
        <v>68</v>
      </c>
      <c r="AL396" t="s">
        <v>68</v>
      </c>
      <c r="AM396" t="s">
        <v>146</v>
      </c>
      <c r="AN396">
        <v>0.182</v>
      </c>
      <c r="AO396" t="s">
        <v>68</v>
      </c>
      <c r="AP396">
        <v>31.8</v>
      </c>
      <c r="AQ396">
        <v>0.09</v>
      </c>
      <c r="AR396">
        <v>1000</v>
      </c>
      <c r="AS396">
        <v>1000</v>
      </c>
    </row>
    <row r="397" spans="1:45" x14ac:dyDescent="0.2">
      <c r="A397" t="s">
        <v>795</v>
      </c>
      <c r="B397" t="s">
        <v>168</v>
      </c>
      <c r="C397" t="s">
        <v>169</v>
      </c>
      <c r="D397" t="s">
        <v>781</v>
      </c>
      <c r="E397">
        <v>29.77108333</v>
      </c>
      <c r="F397">
        <v>-84.876999999999995</v>
      </c>
      <c r="G397" t="s">
        <v>789</v>
      </c>
      <c r="H397" t="s">
        <v>790</v>
      </c>
      <c r="I397">
        <v>5.5013698629999999</v>
      </c>
      <c r="J397">
        <v>2.2999999999999998</v>
      </c>
      <c r="K397">
        <v>0.85399999999999998</v>
      </c>
      <c r="L397" t="s">
        <v>68</v>
      </c>
      <c r="M397">
        <f t="shared" si="6"/>
        <v>1.4459999999999997</v>
      </c>
      <c r="N397">
        <v>2.7</v>
      </c>
      <c r="O397">
        <v>10.63</v>
      </c>
      <c r="P397">
        <v>1.0509999999999999</v>
      </c>
      <c r="Q397">
        <v>0.23</v>
      </c>
      <c r="R397">
        <v>-0.11</v>
      </c>
      <c r="S397">
        <v>5.8999999999999997E-2</v>
      </c>
      <c r="T397">
        <v>0.34</v>
      </c>
      <c r="U397">
        <v>0.41499999999999998</v>
      </c>
      <c r="V397">
        <v>-0.54411764699999998</v>
      </c>
      <c r="W397">
        <v>2.5000000000000001E-2</v>
      </c>
      <c r="X397">
        <v>0.21099999999999999</v>
      </c>
      <c r="Y397">
        <v>0.20399999999999999</v>
      </c>
      <c r="Z397">
        <v>9.7759999999999998</v>
      </c>
      <c r="AA397" t="s">
        <v>68</v>
      </c>
      <c r="AB397" t="s">
        <v>68</v>
      </c>
      <c r="AC397">
        <v>24.6</v>
      </c>
      <c r="AD397">
        <v>1195</v>
      </c>
      <c r="AE397">
        <v>13.00238021</v>
      </c>
      <c r="AF397" t="s">
        <v>68</v>
      </c>
      <c r="AG397" t="s">
        <v>68</v>
      </c>
      <c r="AH397" t="s">
        <v>68</v>
      </c>
      <c r="AI397" t="s">
        <v>68</v>
      </c>
      <c r="AJ397" t="s">
        <v>68</v>
      </c>
      <c r="AK397" t="s">
        <v>68</v>
      </c>
      <c r="AL397" t="s">
        <v>68</v>
      </c>
      <c r="AM397" t="s">
        <v>146</v>
      </c>
      <c r="AN397">
        <v>0.182</v>
      </c>
      <c r="AO397" t="s">
        <v>68</v>
      </c>
      <c r="AP397">
        <v>31.8</v>
      </c>
      <c r="AQ397">
        <v>0.09</v>
      </c>
      <c r="AR397">
        <v>114</v>
      </c>
      <c r="AS397">
        <v>1000</v>
      </c>
    </row>
    <row r="398" spans="1:45" x14ac:dyDescent="0.2">
      <c r="A398" t="s">
        <v>796</v>
      </c>
      <c r="B398" t="s">
        <v>168</v>
      </c>
      <c r="C398" t="s">
        <v>169</v>
      </c>
      <c r="D398" t="s">
        <v>781</v>
      </c>
      <c r="E398">
        <v>29.764790000000001</v>
      </c>
      <c r="F398">
        <v>-84.987579999999994</v>
      </c>
      <c r="G398" t="s">
        <v>784</v>
      </c>
      <c r="H398" s="1">
        <v>43136</v>
      </c>
      <c r="I398">
        <v>5.526027397</v>
      </c>
      <c r="J398">
        <v>3.98</v>
      </c>
      <c r="K398">
        <v>6.3360000000000003</v>
      </c>
      <c r="L398" t="s">
        <v>68</v>
      </c>
      <c r="M398">
        <f t="shared" si="6"/>
        <v>-2.3560000000000003</v>
      </c>
      <c r="N398">
        <v>2.7</v>
      </c>
      <c r="O398">
        <v>10.63</v>
      </c>
      <c r="P398">
        <v>1.0509999999999999</v>
      </c>
      <c r="Q398">
        <v>0.23</v>
      </c>
      <c r="R398">
        <v>-0.11</v>
      </c>
      <c r="S398">
        <v>5.8999999999999997E-2</v>
      </c>
      <c r="T398">
        <v>0.34</v>
      </c>
      <c r="U398">
        <v>0.48</v>
      </c>
      <c r="V398">
        <v>-0.735294118</v>
      </c>
      <c r="W398">
        <v>2.5000000000000001E-2</v>
      </c>
      <c r="X398">
        <v>0.27600000000000002</v>
      </c>
      <c r="Y398">
        <v>0.20399999999999999</v>
      </c>
      <c r="Z398">
        <v>4.2939999999999996</v>
      </c>
      <c r="AA398" t="s">
        <v>68</v>
      </c>
      <c r="AB398" t="s">
        <v>68</v>
      </c>
      <c r="AC398">
        <v>24.6</v>
      </c>
      <c r="AD398">
        <v>1195</v>
      </c>
      <c r="AE398">
        <v>13.00238021</v>
      </c>
      <c r="AF398" t="s">
        <v>68</v>
      </c>
      <c r="AG398" t="s">
        <v>68</v>
      </c>
      <c r="AH398" t="s">
        <v>68</v>
      </c>
      <c r="AI398" t="s">
        <v>68</v>
      </c>
      <c r="AJ398" t="s">
        <v>68</v>
      </c>
      <c r="AK398" t="s">
        <v>68</v>
      </c>
      <c r="AL398" t="s">
        <v>68</v>
      </c>
      <c r="AM398" t="s">
        <v>146</v>
      </c>
      <c r="AN398">
        <v>-0.22500000000000001</v>
      </c>
      <c r="AO398" t="s">
        <v>68</v>
      </c>
      <c r="AP398">
        <v>78</v>
      </c>
      <c r="AQ398">
        <v>0.09</v>
      </c>
      <c r="AR398">
        <v>1000</v>
      </c>
      <c r="AS398">
        <v>346.66666670000001</v>
      </c>
    </row>
    <row r="399" spans="1:45" x14ac:dyDescent="0.2">
      <c r="A399" t="s">
        <v>797</v>
      </c>
      <c r="B399" t="s">
        <v>168</v>
      </c>
      <c r="C399" t="s">
        <v>169</v>
      </c>
      <c r="D399" t="s">
        <v>781</v>
      </c>
      <c r="E399">
        <v>29.756166669999999</v>
      </c>
      <c r="F399">
        <v>-85.003611109999994</v>
      </c>
      <c r="G399" t="s">
        <v>798</v>
      </c>
      <c r="H399" s="1">
        <v>43136</v>
      </c>
      <c r="I399">
        <v>5.5205479449999997</v>
      </c>
      <c r="J399">
        <v>3.18</v>
      </c>
      <c r="K399">
        <v>5.3659999999999997</v>
      </c>
      <c r="L399" t="s">
        <v>68</v>
      </c>
      <c r="M399">
        <f t="shared" si="6"/>
        <v>-2.1859999999999995</v>
      </c>
      <c r="N399">
        <v>2.7</v>
      </c>
      <c r="O399">
        <v>10.63</v>
      </c>
      <c r="P399">
        <v>1.0509999999999999</v>
      </c>
      <c r="Q399">
        <v>0.23</v>
      </c>
      <c r="R399">
        <v>-0.11</v>
      </c>
      <c r="S399">
        <v>5.8999999999999997E-2</v>
      </c>
      <c r="T399">
        <v>0.34</v>
      </c>
      <c r="U399">
        <v>0.51</v>
      </c>
      <c r="V399">
        <v>-0.82352941199999996</v>
      </c>
      <c r="W399">
        <v>2.5000000000000001E-2</v>
      </c>
      <c r="X399">
        <v>0.30599999999999999</v>
      </c>
      <c r="Y399">
        <v>0.20399999999999999</v>
      </c>
      <c r="Z399">
        <v>5.2640000000000002</v>
      </c>
      <c r="AA399" t="s">
        <v>68</v>
      </c>
      <c r="AB399" t="s">
        <v>68</v>
      </c>
      <c r="AC399">
        <v>24.6</v>
      </c>
      <c r="AD399">
        <v>1195</v>
      </c>
      <c r="AE399">
        <v>13.00238021</v>
      </c>
      <c r="AF399" t="s">
        <v>68</v>
      </c>
      <c r="AG399" t="s">
        <v>68</v>
      </c>
      <c r="AH399" t="s">
        <v>68</v>
      </c>
      <c r="AI399" t="s">
        <v>68</v>
      </c>
      <c r="AJ399" t="s">
        <v>68</v>
      </c>
      <c r="AK399" t="s">
        <v>68</v>
      </c>
      <c r="AL399" t="s">
        <v>68</v>
      </c>
      <c r="AM399" t="s">
        <v>146</v>
      </c>
      <c r="AN399">
        <v>-0.219</v>
      </c>
      <c r="AO399" t="s">
        <v>68</v>
      </c>
      <c r="AP399">
        <v>24.6</v>
      </c>
      <c r="AQ399">
        <v>0.09</v>
      </c>
      <c r="AR399">
        <v>1000</v>
      </c>
      <c r="AS399">
        <v>112.32876709999999</v>
      </c>
    </row>
    <row r="400" spans="1:45" x14ac:dyDescent="0.2">
      <c r="A400" t="s">
        <v>799</v>
      </c>
      <c r="B400" t="s">
        <v>168</v>
      </c>
      <c r="C400" t="s">
        <v>169</v>
      </c>
      <c r="D400" t="s">
        <v>781</v>
      </c>
      <c r="E400">
        <v>29.773444439999999</v>
      </c>
      <c r="F400">
        <v>-84.942277779999998</v>
      </c>
      <c r="G400" t="s">
        <v>784</v>
      </c>
      <c r="H400" s="1">
        <v>43136</v>
      </c>
      <c r="I400">
        <v>5.526027397</v>
      </c>
      <c r="J400">
        <v>3.43</v>
      </c>
      <c r="K400">
        <v>6.8620000000000001</v>
      </c>
      <c r="L400" t="s">
        <v>68</v>
      </c>
      <c r="M400">
        <f t="shared" si="6"/>
        <v>-3.4319999999999999</v>
      </c>
      <c r="N400">
        <v>2.7</v>
      </c>
      <c r="O400">
        <v>10.63</v>
      </c>
      <c r="P400">
        <v>1.0509999999999999</v>
      </c>
      <c r="Q400">
        <v>0.23</v>
      </c>
      <c r="R400">
        <v>-0.11</v>
      </c>
      <c r="S400">
        <v>5.8999999999999997E-2</v>
      </c>
      <c r="T400">
        <v>0.34</v>
      </c>
      <c r="U400">
        <v>0.54</v>
      </c>
      <c r="V400">
        <v>-0.91176470600000004</v>
      </c>
      <c r="W400">
        <v>2.5000000000000001E-2</v>
      </c>
      <c r="X400">
        <v>0.33600000000000002</v>
      </c>
      <c r="Y400">
        <v>0.20399999999999999</v>
      </c>
      <c r="Z400">
        <v>3.7679999999999998</v>
      </c>
      <c r="AA400" t="s">
        <v>68</v>
      </c>
      <c r="AB400" t="s">
        <v>68</v>
      </c>
      <c r="AC400">
        <v>24.6</v>
      </c>
      <c r="AD400">
        <v>1195</v>
      </c>
      <c r="AE400">
        <v>13.00238021</v>
      </c>
      <c r="AF400" t="s">
        <v>68</v>
      </c>
      <c r="AG400" t="s">
        <v>68</v>
      </c>
      <c r="AH400" t="s">
        <v>68</v>
      </c>
      <c r="AI400" t="s">
        <v>68</v>
      </c>
      <c r="AJ400" t="s">
        <v>68</v>
      </c>
      <c r="AK400" t="s">
        <v>68</v>
      </c>
      <c r="AL400" t="s">
        <v>68</v>
      </c>
      <c r="AM400" t="s">
        <v>146</v>
      </c>
      <c r="AN400">
        <v>-0.32800000000000001</v>
      </c>
      <c r="AO400" t="s">
        <v>68</v>
      </c>
      <c r="AP400">
        <v>56.4</v>
      </c>
      <c r="AQ400">
        <v>0.22</v>
      </c>
      <c r="AR400">
        <v>1000</v>
      </c>
      <c r="AS400">
        <v>171.95121950000001</v>
      </c>
    </row>
    <row r="401" spans="1:45" x14ac:dyDescent="0.2">
      <c r="A401" t="s">
        <v>800</v>
      </c>
      <c r="B401" t="s">
        <v>168</v>
      </c>
      <c r="C401" t="s">
        <v>169</v>
      </c>
      <c r="D401" t="s">
        <v>781</v>
      </c>
      <c r="E401">
        <v>29.641305559999999</v>
      </c>
      <c r="F401">
        <v>-84.918055559999999</v>
      </c>
      <c r="G401" s="1">
        <v>41490</v>
      </c>
      <c r="H401" t="s">
        <v>782</v>
      </c>
      <c r="I401">
        <v>5.0273972599999999</v>
      </c>
      <c r="J401">
        <v>7.45</v>
      </c>
      <c r="K401">
        <v>3.2770000000000001</v>
      </c>
      <c r="L401" t="s">
        <v>68</v>
      </c>
      <c r="M401">
        <f t="shared" si="6"/>
        <v>4.173</v>
      </c>
      <c r="N401">
        <v>2.7</v>
      </c>
      <c r="O401">
        <v>10.44</v>
      </c>
      <c r="P401">
        <v>1.0509999999999999</v>
      </c>
      <c r="Q401">
        <v>0.23</v>
      </c>
      <c r="R401">
        <v>-0.11</v>
      </c>
      <c r="S401">
        <v>5.8999999999999997E-2</v>
      </c>
      <c r="T401">
        <v>0.34</v>
      </c>
      <c r="U401">
        <v>0.44</v>
      </c>
      <c r="V401">
        <v>-0.61764705900000005</v>
      </c>
      <c r="W401">
        <v>2.5000000000000001E-2</v>
      </c>
      <c r="X401">
        <v>0.23599999999999999</v>
      </c>
      <c r="Y401">
        <v>0.20399999999999999</v>
      </c>
      <c r="Z401">
        <v>7.1630000000000003</v>
      </c>
      <c r="AA401" t="s">
        <v>68</v>
      </c>
      <c r="AB401" t="s">
        <v>68</v>
      </c>
      <c r="AC401">
        <v>24.6</v>
      </c>
      <c r="AD401">
        <v>1195</v>
      </c>
      <c r="AE401">
        <v>13.00238021</v>
      </c>
      <c r="AF401" t="s">
        <v>68</v>
      </c>
      <c r="AG401" t="s">
        <v>68</v>
      </c>
      <c r="AH401" t="s">
        <v>68</v>
      </c>
      <c r="AI401" t="s">
        <v>68</v>
      </c>
      <c r="AJ401" t="s">
        <v>68</v>
      </c>
      <c r="AK401" t="s">
        <v>68</v>
      </c>
      <c r="AL401" t="s">
        <v>68</v>
      </c>
      <c r="AM401" t="s">
        <v>146</v>
      </c>
      <c r="AN401">
        <v>-0.83950000000000002</v>
      </c>
      <c r="AO401" t="s">
        <v>68</v>
      </c>
      <c r="AP401">
        <v>21.6</v>
      </c>
      <c r="AQ401">
        <v>0.36</v>
      </c>
      <c r="AR401">
        <v>1000</v>
      </c>
      <c r="AS401">
        <v>25.729600949999998</v>
      </c>
    </row>
    <row r="402" spans="1:45" x14ac:dyDescent="0.2">
      <c r="A402" t="s">
        <v>801</v>
      </c>
      <c r="B402" t="s">
        <v>168</v>
      </c>
      <c r="C402" t="s">
        <v>169</v>
      </c>
      <c r="D402" t="s">
        <v>781</v>
      </c>
      <c r="E402">
        <v>29.641388890000002</v>
      </c>
      <c r="F402">
        <v>-84.917972219999996</v>
      </c>
      <c r="G402" s="1">
        <v>41490</v>
      </c>
      <c r="H402" t="s">
        <v>782</v>
      </c>
      <c r="I402">
        <v>5.0273972599999999</v>
      </c>
      <c r="J402" t="s">
        <v>68</v>
      </c>
      <c r="K402">
        <v>-0.60799999999999998</v>
      </c>
      <c r="L402" t="s">
        <v>68</v>
      </c>
      <c r="M402" t="s">
        <v>68</v>
      </c>
      <c r="N402">
        <v>2.7</v>
      </c>
      <c r="O402">
        <v>10.44</v>
      </c>
      <c r="P402">
        <v>1.0509999999999999</v>
      </c>
      <c r="Q402">
        <v>0.23</v>
      </c>
      <c r="R402">
        <v>-0.11</v>
      </c>
      <c r="S402">
        <v>5.8999999999999997E-2</v>
      </c>
      <c r="T402">
        <v>0.34</v>
      </c>
      <c r="U402">
        <v>0.22</v>
      </c>
      <c r="V402">
        <v>2.9411764999999999E-2</v>
      </c>
      <c r="W402">
        <v>2.5000000000000001E-2</v>
      </c>
      <c r="X402">
        <v>1.6E-2</v>
      </c>
      <c r="Y402">
        <v>0.20399999999999999</v>
      </c>
      <c r="Z402">
        <v>11.048</v>
      </c>
      <c r="AA402" t="s">
        <v>68</v>
      </c>
      <c r="AB402" t="s">
        <v>68</v>
      </c>
      <c r="AC402">
        <v>24.6</v>
      </c>
      <c r="AD402">
        <v>1195</v>
      </c>
      <c r="AE402">
        <v>13.00238021</v>
      </c>
      <c r="AF402" t="s">
        <v>68</v>
      </c>
      <c r="AG402" t="s">
        <v>68</v>
      </c>
      <c r="AH402" t="s">
        <v>68</v>
      </c>
      <c r="AI402" t="s">
        <v>68</v>
      </c>
      <c r="AJ402" t="s">
        <v>68</v>
      </c>
      <c r="AK402" t="s">
        <v>68</v>
      </c>
      <c r="AL402" t="s">
        <v>68</v>
      </c>
      <c r="AM402" t="s">
        <v>146</v>
      </c>
      <c r="AN402">
        <v>-0.83950000000000002</v>
      </c>
      <c r="AO402" t="s">
        <v>68</v>
      </c>
      <c r="AP402">
        <v>21.6</v>
      </c>
      <c r="AQ402">
        <v>0.36</v>
      </c>
      <c r="AR402">
        <v>5</v>
      </c>
      <c r="AS402">
        <v>25.729600949999998</v>
      </c>
    </row>
    <row r="403" spans="1:45" x14ac:dyDescent="0.2">
      <c r="A403" t="s">
        <v>802</v>
      </c>
      <c r="B403" t="s">
        <v>168</v>
      </c>
      <c r="C403" t="s">
        <v>169</v>
      </c>
      <c r="D403" t="s">
        <v>781</v>
      </c>
      <c r="E403">
        <v>29.59708333</v>
      </c>
      <c r="F403">
        <v>-85.028583330000004</v>
      </c>
      <c r="G403" t="s">
        <v>803</v>
      </c>
      <c r="H403" t="s">
        <v>804</v>
      </c>
      <c r="I403">
        <v>5.0246575340000001</v>
      </c>
      <c r="J403" t="s">
        <v>68</v>
      </c>
      <c r="K403">
        <v>-13.08</v>
      </c>
      <c r="L403" t="s">
        <v>68</v>
      </c>
      <c r="M403" t="s">
        <v>68</v>
      </c>
      <c r="N403">
        <v>2.7</v>
      </c>
      <c r="O403">
        <v>10.44</v>
      </c>
      <c r="P403">
        <v>1.0509999999999999</v>
      </c>
      <c r="Q403">
        <v>0.23</v>
      </c>
      <c r="R403">
        <v>-0.11</v>
      </c>
      <c r="S403">
        <v>5.8999999999999997E-2</v>
      </c>
      <c r="T403">
        <v>0.34</v>
      </c>
      <c r="U403">
        <v>0.39</v>
      </c>
      <c r="V403">
        <v>-0.47058823500000002</v>
      </c>
      <c r="W403">
        <v>2.5000000000000001E-2</v>
      </c>
      <c r="X403">
        <v>0.186</v>
      </c>
      <c r="Y403">
        <v>0.20399999999999999</v>
      </c>
      <c r="Z403">
        <v>23.52</v>
      </c>
      <c r="AA403" t="s">
        <v>68</v>
      </c>
      <c r="AB403" t="s">
        <v>68</v>
      </c>
      <c r="AC403">
        <v>24.6</v>
      </c>
      <c r="AD403">
        <v>1195</v>
      </c>
      <c r="AE403">
        <v>13.00238021</v>
      </c>
      <c r="AF403" t="s">
        <v>68</v>
      </c>
      <c r="AG403" t="s">
        <v>68</v>
      </c>
      <c r="AH403" t="s">
        <v>68</v>
      </c>
      <c r="AI403" t="s">
        <v>68</v>
      </c>
      <c r="AJ403" t="s">
        <v>68</v>
      </c>
      <c r="AK403" t="s">
        <v>68</v>
      </c>
      <c r="AL403" t="s">
        <v>68</v>
      </c>
      <c r="AM403" t="s">
        <v>146</v>
      </c>
      <c r="AN403">
        <v>-0.876</v>
      </c>
      <c r="AO403" t="s">
        <v>68</v>
      </c>
      <c r="AP403">
        <v>11.25</v>
      </c>
      <c r="AQ403">
        <v>0.39</v>
      </c>
      <c r="AR403">
        <v>12</v>
      </c>
      <c r="AS403">
        <v>12.842465750000001</v>
      </c>
    </row>
    <row r="404" spans="1:45" x14ac:dyDescent="0.2">
      <c r="A404" t="s">
        <v>805</v>
      </c>
      <c r="B404" t="s">
        <v>168</v>
      </c>
      <c r="C404" t="s">
        <v>169</v>
      </c>
      <c r="D404" t="s">
        <v>781</v>
      </c>
      <c r="E404">
        <v>29.596888889999999</v>
      </c>
      <c r="F404">
        <v>-85.028666670000007</v>
      </c>
      <c r="G404" t="s">
        <v>803</v>
      </c>
      <c r="H404" t="s">
        <v>804</v>
      </c>
      <c r="I404">
        <v>5.0246575340000001</v>
      </c>
      <c r="J404">
        <v>4.8499999999999996</v>
      </c>
      <c r="K404">
        <v>10.773</v>
      </c>
      <c r="L404" t="s">
        <v>68</v>
      </c>
      <c r="M404">
        <f t="shared" si="6"/>
        <v>-5.923</v>
      </c>
      <c r="N404">
        <v>2.7</v>
      </c>
      <c r="O404">
        <v>10.44</v>
      </c>
      <c r="P404">
        <v>1.0509999999999999</v>
      </c>
      <c r="Q404">
        <v>0.23</v>
      </c>
      <c r="R404">
        <v>-0.11</v>
      </c>
      <c r="S404">
        <v>5.8999999999999997E-2</v>
      </c>
      <c r="T404">
        <v>0.34</v>
      </c>
      <c r="U404">
        <v>0.42</v>
      </c>
      <c r="V404">
        <v>-0.55882352899999999</v>
      </c>
      <c r="W404">
        <v>2.5000000000000001E-2</v>
      </c>
      <c r="X404">
        <v>0.216</v>
      </c>
      <c r="Y404">
        <v>0.20399999999999999</v>
      </c>
      <c r="Z404">
        <v>-0.33300000000000002</v>
      </c>
      <c r="AA404" t="s">
        <v>68</v>
      </c>
      <c r="AB404" t="s">
        <v>68</v>
      </c>
      <c r="AC404">
        <v>24.6</v>
      </c>
      <c r="AD404">
        <v>1195</v>
      </c>
      <c r="AE404">
        <v>13.00238021</v>
      </c>
      <c r="AF404" t="s">
        <v>68</v>
      </c>
      <c r="AG404" t="s">
        <v>68</v>
      </c>
      <c r="AH404" t="s">
        <v>68</v>
      </c>
      <c r="AI404" t="s">
        <v>68</v>
      </c>
      <c r="AJ404" t="s">
        <v>68</v>
      </c>
      <c r="AK404" t="s">
        <v>68</v>
      </c>
      <c r="AL404" t="s">
        <v>68</v>
      </c>
      <c r="AM404" t="s">
        <v>146</v>
      </c>
      <c r="AN404">
        <v>-0.876</v>
      </c>
      <c r="AO404" t="s">
        <v>68</v>
      </c>
      <c r="AP404">
        <v>11.25</v>
      </c>
      <c r="AQ404">
        <v>0.39</v>
      </c>
      <c r="AR404">
        <v>1000</v>
      </c>
      <c r="AS404">
        <v>12.842465750000001</v>
      </c>
    </row>
    <row r="405" spans="1:45" x14ac:dyDescent="0.2">
      <c r="A405" t="s">
        <v>806</v>
      </c>
      <c r="B405" t="s">
        <v>168</v>
      </c>
      <c r="C405" t="s">
        <v>169</v>
      </c>
      <c r="D405" t="s">
        <v>781</v>
      </c>
      <c r="E405">
        <v>29.670833330000001</v>
      </c>
      <c r="F405">
        <v>-84.852999999999994</v>
      </c>
      <c r="G405" s="1">
        <v>41490</v>
      </c>
      <c r="H405" t="s">
        <v>782</v>
      </c>
      <c r="I405">
        <v>5.0273972599999999</v>
      </c>
      <c r="J405">
        <v>2.48</v>
      </c>
      <c r="K405">
        <v>4.4400000000000004</v>
      </c>
      <c r="L405" t="s">
        <v>68</v>
      </c>
      <c r="M405">
        <f t="shared" si="6"/>
        <v>-1.9600000000000004</v>
      </c>
      <c r="N405">
        <v>2.7</v>
      </c>
      <c r="O405">
        <v>10.44</v>
      </c>
      <c r="P405">
        <v>1.0509999999999999</v>
      </c>
      <c r="Q405">
        <v>0.23</v>
      </c>
      <c r="R405">
        <v>-0.11</v>
      </c>
      <c r="S405">
        <v>5.8999999999999997E-2</v>
      </c>
      <c r="T405">
        <v>0.34</v>
      </c>
      <c r="U405">
        <v>0.63</v>
      </c>
      <c r="V405">
        <v>-1.1764705879999999</v>
      </c>
      <c r="W405">
        <v>2.5000000000000001E-2</v>
      </c>
      <c r="X405">
        <v>0.42599999999999999</v>
      </c>
      <c r="Y405">
        <v>0.20399999999999999</v>
      </c>
      <c r="Z405">
        <v>6</v>
      </c>
      <c r="AA405" t="s">
        <v>68</v>
      </c>
      <c r="AB405" t="s">
        <v>68</v>
      </c>
      <c r="AC405">
        <v>24.6</v>
      </c>
      <c r="AD405">
        <v>1195</v>
      </c>
      <c r="AE405">
        <v>13.00238021</v>
      </c>
      <c r="AF405" t="s">
        <v>68</v>
      </c>
      <c r="AG405" t="s">
        <v>68</v>
      </c>
      <c r="AH405" t="s">
        <v>68</v>
      </c>
      <c r="AI405" t="s">
        <v>68</v>
      </c>
      <c r="AJ405" t="s">
        <v>68</v>
      </c>
      <c r="AK405" t="s">
        <v>68</v>
      </c>
      <c r="AL405" t="s">
        <v>68</v>
      </c>
      <c r="AM405" t="s">
        <v>146</v>
      </c>
      <c r="AN405">
        <v>-0.40150000000000002</v>
      </c>
      <c r="AO405" t="s">
        <v>68</v>
      </c>
      <c r="AP405">
        <v>4.9800000000000004</v>
      </c>
      <c r="AQ405">
        <v>0.56999999999999995</v>
      </c>
      <c r="AR405">
        <v>1000</v>
      </c>
      <c r="AS405">
        <v>12.403486920000001</v>
      </c>
    </row>
    <row r="406" spans="1:45" x14ac:dyDescent="0.2">
      <c r="A406" t="s">
        <v>807</v>
      </c>
      <c r="B406" t="s">
        <v>168</v>
      </c>
      <c r="C406" t="s">
        <v>169</v>
      </c>
      <c r="D406" t="s">
        <v>781</v>
      </c>
      <c r="E406">
        <v>29.670805560000002</v>
      </c>
      <c r="F406">
        <v>-84.852916669999999</v>
      </c>
      <c r="G406" s="1">
        <v>41490</v>
      </c>
      <c r="H406" t="s">
        <v>782</v>
      </c>
      <c r="I406">
        <v>5.0273972599999999</v>
      </c>
      <c r="J406">
        <v>3.39</v>
      </c>
      <c r="K406">
        <v>-2.3250000000000002</v>
      </c>
      <c r="L406" t="s">
        <v>68</v>
      </c>
      <c r="M406">
        <f t="shared" si="6"/>
        <v>5.7149999999999999</v>
      </c>
      <c r="N406">
        <v>2.7</v>
      </c>
      <c r="O406">
        <v>10.44</v>
      </c>
      <c r="P406">
        <v>1.0509999999999999</v>
      </c>
      <c r="Q406">
        <v>0.23</v>
      </c>
      <c r="R406">
        <v>-0.11</v>
      </c>
      <c r="S406">
        <v>5.8999999999999997E-2</v>
      </c>
      <c r="T406">
        <v>0.34</v>
      </c>
      <c r="U406">
        <v>0.62</v>
      </c>
      <c r="V406">
        <v>-1.1470588239999999</v>
      </c>
      <c r="W406">
        <v>2.5000000000000001E-2</v>
      </c>
      <c r="X406">
        <v>0.41599999999999998</v>
      </c>
      <c r="Y406">
        <v>0.20399999999999999</v>
      </c>
      <c r="Z406">
        <v>12.765000000000001</v>
      </c>
      <c r="AA406" t="s">
        <v>68</v>
      </c>
      <c r="AB406" t="s">
        <v>68</v>
      </c>
      <c r="AC406">
        <v>24.6</v>
      </c>
      <c r="AD406">
        <v>1195</v>
      </c>
      <c r="AE406">
        <v>13.00238021</v>
      </c>
      <c r="AF406" t="s">
        <v>68</v>
      </c>
      <c r="AG406" t="s">
        <v>68</v>
      </c>
      <c r="AH406" t="s">
        <v>68</v>
      </c>
      <c r="AI406" t="s">
        <v>68</v>
      </c>
      <c r="AJ406" t="s">
        <v>68</v>
      </c>
      <c r="AK406" t="s">
        <v>68</v>
      </c>
      <c r="AL406" t="s">
        <v>68</v>
      </c>
      <c r="AM406" t="s">
        <v>146</v>
      </c>
      <c r="AN406">
        <v>-0.40150000000000002</v>
      </c>
      <c r="AO406" t="s">
        <v>68</v>
      </c>
      <c r="AP406">
        <v>4.95</v>
      </c>
      <c r="AQ406">
        <v>0.56999999999999995</v>
      </c>
      <c r="AR406">
        <v>83</v>
      </c>
      <c r="AS406">
        <v>12.32876712</v>
      </c>
    </row>
    <row r="407" spans="1:45" x14ac:dyDescent="0.2">
      <c r="A407" t="s">
        <v>808</v>
      </c>
      <c r="B407" t="s">
        <v>168</v>
      </c>
      <c r="C407" t="s">
        <v>169</v>
      </c>
      <c r="D407" t="s">
        <v>781</v>
      </c>
      <c r="E407">
        <v>29.756499999999999</v>
      </c>
      <c r="F407">
        <v>-85.003194440000001</v>
      </c>
      <c r="G407" t="s">
        <v>798</v>
      </c>
      <c r="H407" s="1">
        <v>43136</v>
      </c>
      <c r="I407">
        <v>5.5205479449999997</v>
      </c>
      <c r="J407">
        <v>3.69</v>
      </c>
      <c r="K407">
        <v>0.67400000000000004</v>
      </c>
      <c r="L407" t="s">
        <v>68</v>
      </c>
      <c r="M407">
        <f t="shared" si="6"/>
        <v>3.016</v>
      </c>
      <c r="N407">
        <v>2.7</v>
      </c>
      <c r="O407">
        <v>10.63</v>
      </c>
      <c r="P407">
        <v>1.0509999999999999</v>
      </c>
      <c r="Q407">
        <v>0.23</v>
      </c>
      <c r="R407">
        <v>-0.11</v>
      </c>
      <c r="S407">
        <v>5.8999999999999997E-2</v>
      </c>
      <c r="T407">
        <v>0.34</v>
      </c>
      <c r="U407">
        <v>0.51</v>
      </c>
      <c r="V407">
        <v>-0.82352941199999996</v>
      </c>
      <c r="W407">
        <v>2.5000000000000001E-2</v>
      </c>
      <c r="X407">
        <v>0.30599999999999999</v>
      </c>
      <c r="Y407">
        <v>0.20399999999999999</v>
      </c>
      <c r="Z407">
        <v>9.9559999999999995</v>
      </c>
      <c r="AA407" t="s">
        <v>68</v>
      </c>
      <c r="AB407" t="s">
        <v>68</v>
      </c>
      <c r="AC407">
        <v>24.6</v>
      </c>
      <c r="AD407">
        <v>1195</v>
      </c>
      <c r="AE407">
        <v>13.00238021</v>
      </c>
      <c r="AF407" t="s">
        <v>68</v>
      </c>
      <c r="AG407" t="s">
        <v>68</v>
      </c>
      <c r="AH407" t="s">
        <v>68</v>
      </c>
      <c r="AI407" t="s">
        <v>68</v>
      </c>
      <c r="AJ407" t="s">
        <v>68</v>
      </c>
      <c r="AK407" t="s">
        <v>68</v>
      </c>
      <c r="AL407" t="s">
        <v>68</v>
      </c>
      <c r="AM407" t="s">
        <v>146</v>
      </c>
      <c r="AN407">
        <v>-0.62050000000000005</v>
      </c>
      <c r="AO407" t="s">
        <v>68</v>
      </c>
      <c r="AP407">
        <v>90.39</v>
      </c>
      <c r="AQ407">
        <v>0.06</v>
      </c>
      <c r="AR407">
        <v>151</v>
      </c>
      <c r="AS407">
        <v>145.6728445</v>
      </c>
    </row>
    <row r="408" spans="1:45" x14ac:dyDescent="0.2">
      <c r="A408" t="s">
        <v>809</v>
      </c>
      <c r="B408" t="s">
        <v>168</v>
      </c>
      <c r="C408" t="s">
        <v>169</v>
      </c>
      <c r="D408" t="s">
        <v>781</v>
      </c>
      <c r="E408">
        <v>29.773555559999998</v>
      </c>
      <c r="F408">
        <v>-84.942527780000006</v>
      </c>
      <c r="G408" t="s">
        <v>784</v>
      </c>
      <c r="H408" s="1">
        <v>43136</v>
      </c>
      <c r="I408">
        <v>5.526027397</v>
      </c>
      <c r="J408">
        <v>2.81</v>
      </c>
      <c r="K408">
        <v>1.99</v>
      </c>
      <c r="L408" t="s">
        <v>68</v>
      </c>
      <c r="M408">
        <f t="shared" si="6"/>
        <v>0.82000000000000006</v>
      </c>
      <c r="N408">
        <v>2.7</v>
      </c>
      <c r="O408">
        <v>10.63</v>
      </c>
      <c r="P408">
        <v>1.0509999999999999</v>
      </c>
      <c r="Q408">
        <v>0.23</v>
      </c>
      <c r="R408">
        <v>-0.11</v>
      </c>
      <c r="S408">
        <v>5.8999999999999997E-2</v>
      </c>
      <c r="T408">
        <v>0.34</v>
      </c>
      <c r="U408">
        <v>0.49</v>
      </c>
      <c r="V408">
        <v>-0.764705882</v>
      </c>
      <c r="W408">
        <v>2.5000000000000001E-2</v>
      </c>
      <c r="X408">
        <v>0.28599999999999998</v>
      </c>
      <c r="Y408">
        <v>0.20399999999999999</v>
      </c>
      <c r="Z408">
        <v>8.64</v>
      </c>
      <c r="AA408" t="s">
        <v>68</v>
      </c>
      <c r="AB408" t="s">
        <v>68</v>
      </c>
      <c r="AC408">
        <v>24.6</v>
      </c>
      <c r="AD408">
        <v>1195</v>
      </c>
      <c r="AE408">
        <v>13.00238021</v>
      </c>
      <c r="AF408" t="s">
        <v>68</v>
      </c>
      <c r="AG408" t="s">
        <v>68</v>
      </c>
      <c r="AH408" t="s">
        <v>68</v>
      </c>
      <c r="AI408" t="s">
        <v>68</v>
      </c>
      <c r="AJ408" t="s">
        <v>68</v>
      </c>
      <c r="AK408" t="s">
        <v>68</v>
      </c>
      <c r="AL408" t="s">
        <v>68</v>
      </c>
      <c r="AM408" t="s">
        <v>146</v>
      </c>
      <c r="AN408">
        <v>-0.32850000000000001</v>
      </c>
      <c r="AO408" t="s">
        <v>68</v>
      </c>
      <c r="AP408">
        <v>80.3</v>
      </c>
      <c r="AQ408">
        <v>0.09</v>
      </c>
      <c r="AR408">
        <v>403</v>
      </c>
      <c r="AS408">
        <v>244.44444440000001</v>
      </c>
    </row>
    <row r="409" spans="1:45" x14ac:dyDescent="0.2">
      <c r="A409" t="s">
        <v>810</v>
      </c>
      <c r="B409" t="s">
        <v>332</v>
      </c>
      <c r="C409" t="s">
        <v>169</v>
      </c>
      <c r="D409" t="s">
        <v>811</v>
      </c>
      <c r="E409">
        <v>37.215899999999998</v>
      </c>
      <c r="F409">
        <v>-76.403099999999995</v>
      </c>
      <c r="G409" s="1">
        <v>40058</v>
      </c>
      <c r="H409" t="s">
        <v>813</v>
      </c>
      <c r="I409">
        <v>9.6164383559999997</v>
      </c>
      <c r="J409">
        <v>5.4</v>
      </c>
      <c r="K409">
        <v>8.2330000000000005</v>
      </c>
      <c r="L409" t="s">
        <v>68</v>
      </c>
      <c r="M409">
        <f t="shared" si="6"/>
        <v>-2.8330000000000002</v>
      </c>
      <c r="N409">
        <v>4.9000000000000004</v>
      </c>
      <c r="O409">
        <v>5.2999999999999999E-2</v>
      </c>
      <c r="P409">
        <v>2.0350000000000001</v>
      </c>
      <c r="Q409">
        <v>0.25900000000000001</v>
      </c>
      <c r="R409">
        <v>-0.432</v>
      </c>
      <c r="S409">
        <v>-8.5999999999999993E-2</v>
      </c>
      <c r="T409">
        <v>0.69099999999999995</v>
      </c>
      <c r="U409">
        <v>0.20399999999999999</v>
      </c>
      <c r="V409">
        <v>7.9594789999999999E-2</v>
      </c>
      <c r="W409">
        <v>25.9</v>
      </c>
      <c r="X409">
        <v>0.30399999999999999</v>
      </c>
      <c r="Y409">
        <v>-0.1</v>
      </c>
      <c r="Z409">
        <v>-8.18</v>
      </c>
      <c r="AA409">
        <v>26.356589150000001</v>
      </c>
      <c r="AB409">
        <v>0.34</v>
      </c>
      <c r="AC409">
        <v>18.22</v>
      </c>
      <c r="AD409">
        <v>1154</v>
      </c>
      <c r="AE409">
        <v>4.4018969329999997</v>
      </c>
      <c r="AF409" t="s">
        <v>68</v>
      </c>
      <c r="AG409" t="s">
        <v>812</v>
      </c>
      <c r="AH409">
        <v>1</v>
      </c>
      <c r="AI409">
        <v>0</v>
      </c>
      <c r="AJ409">
        <v>0</v>
      </c>
      <c r="AK409">
        <v>0</v>
      </c>
      <c r="AL409" t="s">
        <v>22</v>
      </c>
      <c r="AM409" t="s">
        <v>335</v>
      </c>
      <c r="AN409">
        <v>-7.2999999999999995E-2</v>
      </c>
      <c r="AO409" t="s">
        <v>68</v>
      </c>
      <c r="AP409">
        <v>2.4700000000000002</v>
      </c>
      <c r="AQ409">
        <v>0.25</v>
      </c>
      <c r="AR409">
        <v>1000</v>
      </c>
      <c r="AS409">
        <v>33.835616440000003</v>
      </c>
    </row>
    <row r="410" spans="1:45" x14ac:dyDescent="0.2">
      <c r="A410" t="s">
        <v>814</v>
      </c>
      <c r="B410" t="s">
        <v>332</v>
      </c>
      <c r="C410" t="s">
        <v>169</v>
      </c>
      <c r="D410" t="s">
        <v>811</v>
      </c>
      <c r="E410">
        <v>37.216000000000001</v>
      </c>
      <c r="F410">
        <v>-76.403400000000005</v>
      </c>
      <c r="G410" t="s">
        <v>816</v>
      </c>
      <c r="H410" s="1">
        <v>43260</v>
      </c>
      <c r="I410">
        <v>9.0493150680000003</v>
      </c>
      <c r="J410">
        <v>7.69</v>
      </c>
      <c r="K410">
        <v>6.4530000000000003</v>
      </c>
      <c r="L410" t="s">
        <v>68</v>
      </c>
      <c r="M410">
        <f t="shared" si="6"/>
        <v>1.2370000000000001</v>
      </c>
      <c r="N410">
        <v>4.9000000000000004</v>
      </c>
      <c r="O410">
        <v>5.2999999999999999E-2</v>
      </c>
      <c r="P410">
        <v>2.0350000000000001</v>
      </c>
      <c r="Q410">
        <v>0.25900000000000001</v>
      </c>
      <c r="R410">
        <v>-0.432</v>
      </c>
      <c r="S410">
        <v>-8.5999999999999993E-2</v>
      </c>
      <c r="T410">
        <v>0.69099999999999995</v>
      </c>
      <c r="U410">
        <v>0.36699999999999999</v>
      </c>
      <c r="V410">
        <v>-0.15629522400000001</v>
      </c>
      <c r="W410">
        <v>25.9</v>
      </c>
      <c r="X410">
        <v>0.46700000000000003</v>
      </c>
      <c r="Y410">
        <v>-0.1</v>
      </c>
      <c r="Z410">
        <v>-6.4</v>
      </c>
      <c r="AA410">
        <v>13.90870185</v>
      </c>
      <c r="AB410">
        <v>0.33</v>
      </c>
      <c r="AC410">
        <v>18.22</v>
      </c>
      <c r="AD410">
        <v>1154</v>
      </c>
      <c r="AE410">
        <v>4.4018969329999997</v>
      </c>
      <c r="AF410" t="s">
        <v>68</v>
      </c>
      <c r="AG410" t="s">
        <v>815</v>
      </c>
      <c r="AH410">
        <v>1</v>
      </c>
      <c r="AI410">
        <v>0</v>
      </c>
      <c r="AJ410">
        <v>0</v>
      </c>
      <c r="AK410">
        <v>0</v>
      </c>
      <c r="AL410" t="s">
        <v>22</v>
      </c>
      <c r="AM410" t="s">
        <v>335</v>
      </c>
      <c r="AN410">
        <v>-7.2999999999999995E-2</v>
      </c>
      <c r="AO410" t="s">
        <v>68</v>
      </c>
      <c r="AP410">
        <v>34.54</v>
      </c>
      <c r="AQ410">
        <v>0.1</v>
      </c>
      <c r="AR410">
        <v>1000</v>
      </c>
      <c r="AS410">
        <v>473.15068489999999</v>
      </c>
    </row>
    <row r="411" spans="1:45" x14ac:dyDescent="0.2">
      <c r="A411" t="s">
        <v>817</v>
      </c>
      <c r="B411" t="s">
        <v>332</v>
      </c>
      <c r="C411" t="s">
        <v>169</v>
      </c>
      <c r="D411" t="s">
        <v>811</v>
      </c>
      <c r="E411">
        <v>37.220700000000001</v>
      </c>
      <c r="F411">
        <v>-76.393199999999993</v>
      </c>
      <c r="G411" s="1">
        <v>40699</v>
      </c>
      <c r="H411" t="s">
        <v>819</v>
      </c>
      <c r="I411">
        <v>7.3780821919999999</v>
      </c>
      <c r="J411">
        <v>12.37</v>
      </c>
      <c r="K411">
        <v>7.6970000000000001</v>
      </c>
      <c r="L411" t="s">
        <v>68</v>
      </c>
      <c r="M411">
        <f t="shared" si="6"/>
        <v>4.6729999999999992</v>
      </c>
      <c r="N411">
        <v>4.9000000000000004</v>
      </c>
      <c r="O411">
        <v>0.83</v>
      </c>
      <c r="P411">
        <v>2.0350000000000001</v>
      </c>
      <c r="Q411">
        <v>0.25900000000000001</v>
      </c>
      <c r="R411">
        <v>-0.432</v>
      </c>
      <c r="S411">
        <v>-8.5999999999999993E-2</v>
      </c>
      <c r="T411">
        <v>0.69099999999999995</v>
      </c>
      <c r="U411">
        <v>0.26669999999999999</v>
      </c>
      <c r="V411">
        <v>-0.15629522400000001</v>
      </c>
      <c r="W411">
        <v>25.9</v>
      </c>
      <c r="X411">
        <v>0.36670000000000003</v>
      </c>
      <c r="Y411">
        <v>-0.1</v>
      </c>
      <c r="Z411">
        <v>-6.867</v>
      </c>
      <c r="AA411">
        <v>17.41732283</v>
      </c>
      <c r="AB411">
        <v>0.36</v>
      </c>
      <c r="AC411">
        <v>18.22</v>
      </c>
      <c r="AD411">
        <v>1154</v>
      </c>
      <c r="AE411">
        <v>4.4018969329999997</v>
      </c>
      <c r="AF411" t="s">
        <v>68</v>
      </c>
      <c r="AG411" t="s">
        <v>818</v>
      </c>
      <c r="AH411">
        <v>1</v>
      </c>
      <c r="AI411">
        <v>0</v>
      </c>
      <c r="AJ411">
        <v>0</v>
      </c>
      <c r="AK411">
        <v>0</v>
      </c>
      <c r="AL411" t="s">
        <v>22</v>
      </c>
      <c r="AM411" t="s">
        <v>335</v>
      </c>
      <c r="AN411">
        <v>-0.438</v>
      </c>
      <c r="AO411" t="s">
        <v>68</v>
      </c>
      <c r="AP411">
        <v>128</v>
      </c>
      <c r="AQ411">
        <v>0.03</v>
      </c>
      <c r="AR411">
        <v>1000</v>
      </c>
      <c r="AS411">
        <v>292.23744290000002</v>
      </c>
    </row>
    <row r="412" spans="1:45" x14ac:dyDescent="0.2">
      <c r="A412" t="s">
        <v>820</v>
      </c>
      <c r="B412" t="s">
        <v>332</v>
      </c>
      <c r="C412" t="s">
        <v>169</v>
      </c>
      <c r="D412" t="s">
        <v>811</v>
      </c>
      <c r="E412">
        <v>37.219099999999997</v>
      </c>
      <c r="F412">
        <v>-76.398899999999998</v>
      </c>
      <c r="G412" s="1">
        <v>40699</v>
      </c>
      <c r="H412" t="s">
        <v>819</v>
      </c>
      <c r="I412">
        <v>7.3780821919999999</v>
      </c>
      <c r="J412">
        <v>5.87</v>
      </c>
      <c r="K412">
        <v>6.4779999999999998</v>
      </c>
      <c r="L412" t="s">
        <v>68</v>
      </c>
      <c r="M412">
        <f t="shared" si="6"/>
        <v>-0.60799999999999965</v>
      </c>
      <c r="N412">
        <v>4.9000000000000004</v>
      </c>
      <c r="O412">
        <v>0.83</v>
      </c>
      <c r="P412">
        <v>2.0350000000000001</v>
      </c>
      <c r="Q412">
        <v>0.25900000000000001</v>
      </c>
      <c r="R412">
        <v>-0.432</v>
      </c>
      <c r="S412">
        <v>-8.5999999999999993E-2</v>
      </c>
      <c r="T412">
        <v>0.69099999999999995</v>
      </c>
      <c r="U412">
        <v>0.36699999999999999</v>
      </c>
      <c r="V412">
        <v>-1.1143271E-2</v>
      </c>
      <c r="W412">
        <v>25.9</v>
      </c>
      <c r="X412">
        <v>0.46700000000000003</v>
      </c>
      <c r="Y412">
        <v>-0.1</v>
      </c>
      <c r="Z412">
        <v>-5.6479999999999997</v>
      </c>
      <c r="AA412">
        <v>28.274164089999999</v>
      </c>
      <c r="AB412">
        <v>0.34</v>
      </c>
      <c r="AC412">
        <v>18.22</v>
      </c>
      <c r="AD412">
        <v>1154</v>
      </c>
      <c r="AE412">
        <v>4.4018969329999997</v>
      </c>
      <c r="AF412" t="s">
        <v>68</v>
      </c>
      <c r="AG412" t="s">
        <v>815</v>
      </c>
      <c r="AH412">
        <v>1</v>
      </c>
      <c r="AI412">
        <v>0</v>
      </c>
      <c r="AJ412">
        <v>0</v>
      </c>
      <c r="AK412">
        <v>0</v>
      </c>
      <c r="AL412" t="s">
        <v>22</v>
      </c>
      <c r="AM412" t="s">
        <v>335</v>
      </c>
      <c r="AN412">
        <v>-0.73</v>
      </c>
      <c r="AO412" t="s">
        <v>68</v>
      </c>
      <c r="AP412">
        <v>60</v>
      </c>
      <c r="AQ412">
        <v>0.11</v>
      </c>
      <c r="AR412">
        <v>1000</v>
      </c>
      <c r="AS412">
        <v>82.191780820000005</v>
      </c>
    </row>
    <row r="413" spans="1:45" x14ac:dyDescent="0.2">
      <c r="A413" t="s">
        <v>821</v>
      </c>
      <c r="B413" t="s">
        <v>332</v>
      </c>
      <c r="C413" t="s">
        <v>169</v>
      </c>
      <c r="D413" t="s">
        <v>811</v>
      </c>
      <c r="E413">
        <v>37.219000000000001</v>
      </c>
      <c r="F413">
        <v>-76.398300000000006</v>
      </c>
      <c r="G413" s="1">
        <v>40699</v>
      </c>
      <c r="H413" t="s">
        <v>819</v>
      </c>
      <c r="I413">
        <v>7.3780821919999999</v>
      </c>
      <c r="J413">
        <v>6.16</v>
      </c>
      <c r="K413">
        <v>5.6680000000000001</v>
      </c>
      <c r="L413" t="s">
        <v>68</v>
      </c>
      <c r="M413">
        <f t="shared" si="6"/>
        <v>0.49199999999999999</v>
      </c>
      <c r="N413">
        <v>4.9000000000000004</v>
      </c>
      <c r="O413">
        <v>0.83</v>
      </c>
      <c r="P413">
        <v>2.0350000000000001</v>
      </c>
      <c r="Q413">
        <v>0.25900000000000001</v>
      </c>
      <c r="R413">
        <v>-0.432</v>
      </c>
      <c r="S413">
        <v>-8.5999999999999993E-2</v>
      </c>
      <c r="T413">
        <v>0.69099999999999995</v>
      </c>
      <c r="U413">
        <v>0.32600000000000001</v>
      </c>
      <c r="V413">
        <v>-0.15629522400000001</v>
      </c>
      <c r="W413">
        <v>25.9</v>
      </c>
      <c r="X413">
        <v>0.42599999999999999</v>
      </c>
      <c r="Y413">
        <v>-0.1</v>
      </c>
      <c r="Z413">
        <v>-4.8380000000000001</v>
      </c>
      <c r="AA413" t="s">
        <v>68</v>
      </c>
      <c r="AB413" t="s">
        <v>68</v>
      </c>
      <c r="AC413">
        <v>18.22</v>
      </c>
      <c r="AD413">
        <v>1154</v>
      </c>
      <c r="AE413">
        <v>4.4018969329999997</v>
      </c>
      <c r="AF413" t="s">
        <v>68</v>
      </c>
      <c r="AG413" t="s">
        <v>822</v>
      </c>
      <c r="AH413">
        <v>0</v>
      </c>
      <c r="AI413">
        <v>0</v>
      </c>
      <c r="AJ413">
        <v>1</v>
      </c>
      <c r="AK413">
        <v>0</v>
      </c>
      <c r="AL413" t="s">
        <v>48</v>
      </c>
      <c r="AM413" t="s">
        <v>335</v>
      </c>
      <c r="AN413">
        <v>-0.94899999999999995</v>
      </c>
      <c r="AO413" t="s">
        <v>68</v>
      </c>
      <c r="AP413">
        <v>121</v>
      </c>
      <c r="AQ413">
        <v>0.01</v>
      </c>
      <c r="AR413">
        <v>1000</v>
      </c>
      <c r="AS413">
        <v>127.50263440000001</v>
      </c>
    </row>
    <row r="414" spans="1:45" x14ac:dyDescent="0.2">
      <c r="A414" t="s">
        <v>823</v>
      </c>
      <c r="B414" t="s">
        <v>332</v>
      </c>
      <c r="C414" t="s">
        <v>169</v>
      </c>
      <c r="D414" t="s">
        <v>811</v>
      </c>
      <c r="E414">
        <v>37.221600000000002</v>
      </c>
      <c r="F414">
        <v>-76.408000000000001</v>
      </c>
      <c r="G414" s="1">
        <v>40882</v>
      </c>
      <c r="H414" t="s">
        <v>813</v>
      </c>
      <c r="I414">
        <v>7.3643835620000004</v>
      </c>
      <c r="J414">
        <v>6.81</v>
      </c>
      <c r="K414">
        <v>2.7730000000000001</v>
      </c>
      <c r="L414" t="s">
        <v>68</v>
      </c>
      <c r="M414">
        <f t="shared" si="6"/>
        <v>4.036999999999999</v>
      </c>
      <c r="N414">
        <v>4.9000000000000004</v>
      </c>
      <c r="O414">
        <v>0.83</v>
      </c>
      <c r="P414">
        <v>2.0350000000000001</v>
      </c>
      <c r="Q414">
        <v>0.25900000000000001</v>
      </c>
      <c r="R414">
        <v>-0.432</v>
      </c>
      <c r="S414">
        <v>-8.5999999999999993E-2</v>
      </c>
      <c r="T414">
        <v>0.69099999999999995</v>
      </c>
      <c r="U414">
        <v>0.38200000000000001</v>
      </c>
      <c r="V414">
        <v>-9.6960926000000003E-2</v>
      </c>
      <c r="W414">
        <v>25.9</v>
      </c>
      <c r="X414">
        <v>0.48199999999999998</v>
      </c>
      <c r="Y414">
        <v>-0.1</v>
      </c>
      <c r="Z414">
        <v>-1.9430000000000001</v>
      </c>
      <c r="AA414" t="s">
        <v>68</v>
      </c>
      <c r="AB414" t="s">
        <v>68</v>
      </c>
      <c r="AC414">
        <v>18.22</v>
      </c>
      <c r="AD414">
        <v>1154</v>
      </c>
      <c r="AE414">
        <v>4.4018969329999997</v>
      </c>
      <c r="AF414" t="s">
        <v>68</v>
      </c>
      <c r="AG414" t="s">
        <v>822</v>
      </c>
      <c r="AH414">
        <v>0</v>
      </c>
      <c r="AI414">
        <v>0</v>
      </c>
      <c r="AJ414">
        <v>1</v>
      </c>
      <c r="AK414">
        <v>0</v>
      </c>
      <c r="AL414" t="s">
        <v>48</v>
      </c>
      <c r="AM414" t="s">
        <v>335</v>
      </c>
      <c r="AN414">
        <v>-1.79</v>
      </c>
      <c r="AO414" t="s">
        <v>68</v>
      </c>
      <c r="AP414">
        <v>34.9</v>
      </c>
      <c r="AQ414">
        <v>0.01</v>
      </c>
      <c r="AR414">
        <v>227</v>
      </c>
      <c r="AS414">
        <v>19.4972067</v>
      </c>
    </row>
    <row r="415" spans="1:45" x14ac:dyDescent="0.2">
      <c r="A415" t="s">
        <v>824</v>
      </c>
      <c r="B415" t="s">
        <v>332</v>
      </c>
      <c r="C415" t="s">
        <v>169</v>
      </c>
      <c r="D415" t="s">
        <v>811</v>
      </c>
      <c r="E415">
        <v>37.2209</v>
      </c>
      <c r="F415">
        <v>-76.406899999999993</v>
      </c>
      <c r="G415" s="1">
        <v>40882</v>
      </c>
      <c r="H415" t="s">
        <v>813</v>
      </c>
      <c r="I415">
        <v>7.3643835620000004</v>
      </c>
      <c r="J415">
        <v>4.5999999999999996</v>
      </c>
      <c r="K415">
        <v>1.0780000000000001</v>
      </c>
      <c r="L415" t="s">
        <v>68</v>
      </c>
      <c r="M415">
        <f t="shared" si="6"/>
        <v>3.5219999999999994</v>
      </c>
      <c r="N415">
        <v>4.9000000000000004</v>
      </c>
      <c r="O415">
        <v>0.83</v>
      </c>
      <c r="P415">
        <v>2.0350000000000001</v>
      </c>
      <c r="Q415">
        <v>0.25900000000000001</v>
      </c>
      <c r="R415">
        <v>-0.432</v>
      </c>
      <c r="S415">
        <v>-8.5999999999999993E-2</v>
      </c>
      <c r="T415">
        <v>0.69099999999999995</v>
      </c>
      <c r="U415">
        <v>0.46700000000000003</v>
      </c>
      <c r="V415">
        <v>-0.17800289399999999</v>
      </c>
      <c r="W415">
        <v>25.9</v>
      </c>
      <c r="X415">
        <v>0.56699999999999995</v>
      </c>
      <c r="Y415">
        <v>-0.1</v>
      </c>
      <c r="Z415">
        <v>-0.248</v>
      </c>
      <c r="AA415">
        <v>38.9033145</v>
      </c>
      <c r="AB415">
        <v>0.22</v>
      </c>
      <c r="AC415">
        <v>18.22</v>
      </c>
      <c r="AD415">
        <v>1154</v>
      </c>
      <c r="AE415">
        <v>4.4018969329999997</v>
      </c>
      <c r="AF415" t="s">
        <v>68</v>
      </c>
      <c r="AG415" t="s">
        <v>377</v>
      </c>
      <c r="AH415">
        <v>1</v>
      </c>
      <c r="AI415">
        <v>0</v>
      </c>
      <c r="AJ415">
        <v>0</v>
      </c>
      <c r="AK415">
        <v>0</v>
      </c>
      <c r="AL415" t="s">
        <v>22</v>
      </c>
      <c r="AM415" t="s">
        <v>335</v>
      </c>
      <c r="AN415">
        <v>-0.876</v>
      </c>
      <c r="AO415" t="s">
        <v>68</v>
      </c>
      <c r="AP415">
        <v>98.6</v>
      </c>
      <c r="AQ415">
        <v>5.0000000000000001E-3</v>
      </c>
      <c r="AR415">
        <v>148</v>
      </c>
      <c r="AS415">
        <v>112.5570776</v>
      </c>
    </row>
    <row r="416" spans="1:45" x14ac:dyDescent="0.2">
      <c r="A416" t="s">
        <v>825</v>
      </c>
      <c r="B416" t="s">
        <v>332</v>
      </c>
      <c r="C416" t="s">
        <v>169</v>
      </c>
      <c r="D416" t="s">
        <v>811</v>
      </c>
      <c r="E416">
        <v>37.218200000000003</v>
      </c>
      <c r="F416">
        <v>-76.411500000000004</v>
      </c>
      <c r="G416" t="s">
        <v>826</v>
      </c>
      <c r="H416" s="1">
        <v>43229</v>
      </c>
      <c r="I416">
        <v>7.3013698629999997</v>
      </c>
      <c r="J416">
        <v>5.84</v>
      </c>
      <c r="K416">
        <v>2.573</v>
      </c>
      <c r="L416" t="s">
        <v>68</v>
      </c>
      <c r="M416">
        <f t="shared" si="6"/>
        <v>3.2669999999999999</v>
      </c>
      <c r="N416">
        <v>4.9000000000000004</v>
      </c>
      <c r="O416">
        <v>0.83</v>
      </c>
      <c r="P416">
        <v>2.0350000000000001</v>
      </c>
      <c r="Q416">
        <v>0.25900000000000001</v>
      </c>
      <c r="R416">
        <v>-0.432</v>
      </c>
      <c r="S416">
        <v>-8.5999999999999993E-2</v>
      </c>
      <c r="T416">
        <v>0.69099999999999995</v>
      </c>
      <c r="U416">
        <v>0.22800000000000001</v>
      </c>
      <c r="V416">
        <v>-0.30101302499999999</v>
      </c>
      <c r="W416">
        <v>25.9</v>
      </c>
      <c r="X416">
        <v>0.32800000000000001</v>
      </c>
      <c r="Y416">
        <v>-0.1</v>
      </c>
      <c r="Z416">
        <v>-1.7430000000000001</v>
      </c>
      <c r="AA416" t="s">
        <v>68</v>
      </c>
      <c r="AB416" t="s">
        <v>68</v>
      </c>
      <c r="AC416">
        <v>18.22</v>
      </c>
      <c r="AD416">
        <v>1154</v>
      </c>
      <c r="AE416">
        <v>4.4018969329999997</v>
      </c>
      <c r="AF416" t="s">
        <v>68</v>
      </c>
      <c r="AG416" t="s">
        <v>822</v>
      </c>
      <c r="AH416">
        <v>0</v>
      </c>
      <c r="AI416">
        <v>0</v>
      </c>
      <c r="AJ416">
        <v>1</v>
      </c>
      <c r="AK416">
        <v>0</v>
      </c>
      <c r="AL416" t="s">
        <v>48</v>
      </c>
      <c r="AM416" t="s">
        <v>335</v>
      </c>
      <c r="AN416" s="2">
        <v>6.0000000000000002E-5</v>
      </c>
      <c r="AO416" t="s">
        <v>68</v>
      </c>
      <c r="AP416">
        <v>25.19</v>
      </c>
      <c r="AQ416">
        <v>0.22</v>
      </c>
      <c r="AR416">
        <v>141</v>
      </c>
      <c r="AS416">
        <v>1000</v>
      </c>
    </row>
    <row r="417" spans="1:45" x14ac:dyDescent="0.2">
      <c r="A417" t="s">
        <v>827</v>
      </c>
      <c r="B417" t="s">
        <v>332</v>
      </c>
      <c r="C417" t="s">
        <v>169</v>
      </c>
      <c r="D417" t="s">
        <v>811</v>
      </c>
      <c r="E417">
        <v>37.218600000000002</v>
      </c>
      <c r="F417">
        <v>-76.410899999999998</v>
      </c>
      <c r="G417" t="s">
        <v>826</v>
      </c>
      <c r="H417" s="1">
        <v>43260</v>
      </c>
      <c r="I417">
        <v>7.3041095890000003</v>
      </c>
      <c r="J417">
        <v>10.06</v>
      </c>
      <c r="K417">
        <v>-1.054</v>
      </c>
      <c r="L417" t="s">
        <v>68</v>
      </c>
      <c r="M417">
        <f t="shared" si="6"/>
        <v>11.114000000000001</v>
      </c>
      <c r="N417">
        <v>4.9000000000000004</v>
      </c>
      <c r="O417">
        <v>0.83</v>
      </c>
      <c r="P417">
        <v>2.0350000000000001</v>
      </c>
      <c r="Q417">
        <v>0.25900000000000001</v>
      </c>
      <c r="R417">
        <v>-0.432</v>
      </c>
      <c r="S417">
        <v>-8.5999999999999993E-2</v>
      </c>
      <c r="T417">
        <v>0.69099999999999995</v>
      </c>
      <c r="U417">
        <v>0.54500000000000004</v>
      </c>
      <c r="V417">
        <v>4.4862517999999997E-2</v>
      </c>
      <c r="W417">
        <v>25.9</v>
      </c>
      <c r="X417">
        <v>0.64500000000000002</v>
      </c>
      <c r="Y417">
        <v>-0.1</v>
      </c>
      <c r="Z417">
        <v>1.8839999999999999</v>
      </c>
      <c r="AA417">
        <v>13.24847288</v>
      </c>
      <c r="AB417">
        <v>0.69</v>
      </c>
      <c r="AC417">
        <v>18.22</v>
      </c>
      <c r="AD417">
        <v>1154</v>
      </c>
      <c r="AE417">
        <v>4.4018969329999997</v>
      </c>
      <c r="AF417" t="s">
        <v>68</v>
      </c>
      <c r="AG417" t="s">
        <v>365</v>
      </c>
      <c r="AH417">
        <v>1</v>
      </c>
      <c r="AI417">
        <v>0</v>
      </c>
      <c r="AJ417">
        <v>0</v>
      </c>
      <c r="AK417">
        <v>0</v>
      </c>
      <c r="AL417" t="s">
        <v>22</v>
      </c>
      <c r="AM417" t="s">
        <v>335</v>
      </c>
      <c r="AN417" s="2">
        <v>5.0000000000000002E-5</v>
      </c>
      <c r="AO417" t="s">
        <v>68</v>
      </c>
      <c r="AP417">
        <v>79.3</v>
      </c>
      <c r="AQ417">
        <v>0</v>
      </c>
      <c r="AR417">
        <v>108</v>
      </c>
      <c r="AS417">
        <v>1000</v>
      </c>
    </row>
    <row r="418" spans="1:45" x14ac:dyDescent="0.2">
      <c r="A418" t="s">
        <v>828</v>
      </c>
      <c r="B418" t="s">
        <v>332</v>
      </c>
      <c r="C418" t="s">
        <v>169</v>
      </c>
      <c r="D418" t="s">
        <v>829</v>
      </c>
      <c r="E418">
        <v>39.070653999999998</v>
      </c>
      <c r="F418">
        <v>-75.417412999999996</v>
      </c>
      <c r="G418" s="1">
        <v>39269</v>
      </c>
      <c r="H418" t="s">
        <v>831</v>
      </c>
      <c r="I418">
        <v>11.80821918</v>
      </c>
      <c r="J418">
        <v>3.97</v>
      </c>
      <c r="K418">
        <v>5.29</v>
      </c>
      <c r="L418" t="s">
        <v>68</v>
      </c>
      <c r="M418">
        <f t="shared" si="6"/>
        <v>-1.3199999999999998</v>
      </c>
      <c r="N418">
        <v>4.1100000000000003</v>
      </c>
      <c r="O418">
        <v>4.21</v>
      </c>
      <c r="P418">
        <v>2.0049999999999999</v>
      </c>
      <c r="Q418">
        <v>1.6</v>
      </c>
      <c r="R418">
        <v>-2.4700000000000002</v>
      </c>
      <c r="S418">
        <v>-0.43</v>
      </c>
      <c r="T418">
        <v>4.07</v>
      </c>
      <c r="U418">
        <v>1.1279999999999999</v>
      </c>
      <c r="V418">
        <v>0.115970516</v>
      </c>
      <c r="W418">
        <v>119.2</v>
      </c>
      <c r="X418">
        <v>0.72099999999999997</v>
      </c>
      <c r="Y418">
        <v>0.40699999999999997</v>
      </c>
      <c r="Z418">
        <v>-1.08</v>
      </c>
      <c r="AA418">
        <v>16.940000000000001</v>
      </c>
      <c r="AB418">
        <v>0.53</v>
      </c>
      <c r="AC418">
        <v>17.8</v>
      </c>
      <c r="AD418">
        <v>1102</v>
      </c>
      <c r="AE418">
        <v>29.292444939999999</v>
      </c>
      <c r="AF418" t="s">
        <v>68</v>
      </c>
      <c r="AG418" t="s">
        <v>830</v>
      </c>
      <c r="AH418">
        <v>1</v>
      </c>
      <c r="AI418">
        <v>0</v>
      </c>
      <c r="AJ418">
        <v>0</v>
      </c>
      <c r="AK418">
        <v>0</v>
      </c>
      <c r="AL418" t="s">
        <v>22</v>
      </c>
      <c r="AM418" t="s">
        <v>335</v>
      </c>
      <c r="AN418">
        <v>-0.2555</v>
      </c>
      <c r="AO418" t="s">
        <v>68</v>
      </c>
      <c r="AP418">
        <v>6.97</v>
      </c>
      <c r="AQ418">
        <v>0.4</v>
      </c>
      <c r="AR418">
        <v>1000</v>
      </c>
      <c r="AS418">
        <v>27.27984344</v>
      </c>
    </row>
    <row r="419" spans="1:45" x14ac:dyDescent="0.2">
      <c r="A419" t="s">
        <v>832</v>
      </c>
      <c r="B419" t="s">
        <v>332</v>
      </c>
      <c r="C419" t="s">
        <v>169</v>
      </c>
      <c r="D419" t="s">
        <v>829</v>
      </c>
      <c r="E419">
        <v>39.088068</v>
      </c>
      <c r="F419">
        <v>-75.437496999999993</v>
      </c>
      <c r="G419" t="s">
        <v>833</v>
      </c>
      <c r="H419" t="s">
        <v>834</v>
      </c>
      <c r="I419">
        <v>16.939726029999999</v>
      </c>
      <c r="J419">
        <v>4.96</v>
      </c>
      <c r="K419">
        <v>2.7679999999999998</v>
      </c>
      <c r="L419" t="s">
        <v>68</v>
      </c>
      <c r="M419">
        <f t="shared" si="6"/>
        <v>2.1920000000000002</v>
      </c>
      <c r="N419">
        <v>4.1100000000000003</v>
      </c>
      <c r="O419">
        <v>4.74</v>
      </c>
      <c r="P419">
        <v>2.0049999999999999</v>
      </c>
      <c r="Q419">
        <v>1.6</v>
      </c>
      <c r="R419">
        <v>-2.4700000000000002</v>
      </c>
      <c r="S419">
        <v>-0.43</v>
      </c>
      <c r="T419">
        <v>4.07</v>
      </c>
      <c r="U419">
        <v>0.72099999999999997</v>
      </c>
      <c r="V419">
        <v>0.215970516</v>
      </c>
      <c r="W419">
        <v>119.2</v>
      </c>
      <c r="X419">
        <v>0.314</v>
      </c>
      <c r="Y419">
        <v>0.40699999999999997</v>
      </c>
      <c r="Z419">
        <v>1.972</v>
      </c>
      <c r="AA419">
        <v>16.940000000000001</v>
      </c>
      <c r="AB419">
        <v>0.53</v>
      </c>
      <c r="AC419">
        <v>17.8</v>
      </c>
      <c r="AD419">
        <v>1102</v>
      </c>
      <c r="AE419">
        <v>29.292444939999999</v>
      </c>
      <c r="AF419" t="s">
        <v>68</v>
      </c>
      <c r="AG419" t="s">
        <v>830</v>
      </c>
      <c r="AH419">
        <v>1</v>
      </c>
      <c r="AI419">
        <v>0</v>
      </c>
      <c r="AJ419">
        <v>0</v>
      </c>
      <c r="AK419">
        <v>0</v>
      </c>
      <c r="AL419" t="s">
        <v>22</v>
      </c>
      <c r="AM419" t="s">
        <v>335</v>
      </c>
      <c r="AN419">
        <v>-0.94899999999999995</v>
      </c>
      <c r="AO419" t="s">
        <v>68</v>
      </c>
      <c r="AP419">
        <v>1811</v>
      </c>
      <c r="AQ419">
        <v>0.08</v>
      </c>
      <c r="AR419">
        <v>234</v>
      </c>
      <c r="AS419">
        <v>1908.324552</v>
      </c>
    </row>
    <row r="420" spans="1:45" x14ac:dyDescent="0.2">
      <c r="A420" t="s">
        <v>835</v>
      </c>
      <c r="B420" t="s">
        <v>332</v>
      </c>
      <c r="C420" t="s">
        <v>169</v>
      </c>
      <c r="D420" t="s">
        <v>829</v>
      </c>
      <c r="E420">
        <v>39.397213999999998</v>
      </c>
      <c r="F420">
        <v>-75.619311999999994</v>
      </c>
      <c r="G420" t="s">
        <v>836</v>
      </c>
      <c r="H420" t="s">
        <v>837</v>
      </c>
      <c r="I420">
        <v>13.501369860000001</v>
      </c>
      <c r="J420">
        <v>10.48</v>
      </c>
      <c r="K420">
        <v>10.363</v>
      </c>
      <c r="L420" t="s">
        <v>68</v>
      </c>
      <c r="M420">
        <f t="shared" si="6"/>
        <v>0.11700000000000088</v>
      </c>
      <c r="N420">
        <v>4.1100000000000003</v>
      </c>
      <c r="O420">
        <v>3.54</v>
      </c>
      <c r="P420">
        <v>2.0049999999999999</v>
      </c>
      <c r="Q420">
        <v>1.6</v>
      </c>
      <c r="R420">
        <v>-2.4700000000000002</v>
      </c>
      <c r="S420">
        <v>-0.43</v>
      </c>
      <c r="T420">
        <v>4.07</v>
      </c>
      <c r="U420">
        <v>0.46300000000000002</v>
      </c>
      <c r="V420">
        <v>0.27936117900000002</v>
      </c>
      <c r="W420">
        <v>119.2</v>
      </c>
      <c r="X420">
        <v>5.6000000000000001E-2</v>
      </c>
      <c r="Y420">
        <v>0.40699999999999997</v>
      </c>
      <c r="Z420">
        <v>-6.8230000000000004</v>
      </c>
      <c r="AA420" t="s">
        <v>68</v>
      </c>
      <c r="AB420" t="s">
        <v>68</v>
      </c>
      <c r="AC420">
        <v>17.8</v>
      </c>
      <c r="AD420">
        <v>1102</v>
      </c>
      <c r="AE420">
        <v>29.292444939999999</v>
      </c>
      <c r="AF420" t="s">
        <v>68</v>
      </c>
      <c r="AG420" t="s">
        <v>341</v>
      </c>
      <c r="AH420">
        <v>1</v>
      </c>
      <c r="AI420">
        <v>0</v>
      </c>
      <c r="AJ420">
        <v>0</v>
      </c>
      <c r="AK420">
        <v>0</v>
      </c>
      <c r="AL420" t="s">
        <v>22</v>
      </c>
      <c r="AM420" t="s">
        <v>335</v>
      </c>
      <c r="AN420">
        <v>-0.219</v>
      </c>
      <c r="AO420" t="s">
        <v>68</v>
      </c>
      <c r="AP420">
        <v>10.79</v>
      </c>
      <c r="AQ420">
        <v>0.4</v>
      </c>
      <c r="AR420">
        <v>1000</v>
      </c>
      <c r="AS420">
        <v>49.26940639</v>
      </c>
    </row>
    <row r="421" spans="1:45" x14ac:dyDescent="0.2">
      <c r="A421" t="s">
        <v>838</v>
      </c>
      <c r="B421" t="s">
        <v>332</v>
      </c>
      <c r="C421" t="s">
        <v>169</v>
      </c>
      <c r="D421" t="s">
        <v>829</v>
      </c>
      <c r="E421">
        <v>39.394390000000001</v>
      </c>
      <c r="F421">
        <v>-75.598389999999995</v>
      </c>
      <c r="G421" t="s">
        <v>839</v>
      </c>
      <c r="H421" t="s">
        <v>837</v>
      </c>
      <c r="I421">
        <v>13.33424658</v>
      </c>
      <c r="J421">
        <v>10.91</v>
      </c>
      <c r="K421">
        <v>-2.9940000000000002</v>
      </c>
      <c r="L421" t="s">
        <v>68</v>
      </c>
      <c r="M421">
        <f t="shared" si="6"/>
        <v>13.904</v>
      </c>
      <c r="N421">
        <v>4.1100000000000003</v>
      </c>
      <c r="O421">
        <v>3.54</v>
      </c>
      <c r="P421">
        <v>2.0049999999999999</v>
      </c>
      <c r="Q421">
        <v>1.6</v>
      </c>
      <c r="R421">
        <v>-2.4700000000000002</v>
      </c>
      <c r="S421">
        <v>-0.43</v>
      </c>
      <c r="T421">
        <v>4.07</v>
      </c>
      <c r="U421">
        <v>0.502</v>
      </c>
      <c r="V421">
        <v>0.26977887</v>
      </c>
      <c r="W421">
        <v>119.2</v>
      </c>
      <c r="X421">
        <v>9.5000000000000001E-2</v>
      </c>
      <c r="Y421">
        <v>0.40699999999999997</v>
      </c>
      <c r="Z421">
        <v>6.5339999999999998</v>
      </c>
      <c r="AA421" t="s">
        <v>68</v>
      </c>
      <c r="AB421" t="s">
        <v>68</v>
      </c>
      <c r="AC421">
        <v>17.8</v>
      </c>
      <c r="AD421">
        <v>1102</v>
      </c>
      <c r="AE421">
        <v>29.292444939999999</v>
      </c>
      <c r="AF421" t="s">
        <v>68</v>
      </c>
      <c r="AG421" t="s">
        <v>830</v>
      </c>
      <c r="AH421">
        <v>1</v>
      </c>
      <c r="AI421">
        <v>0</v>
      </c>
      <c r="AJ421">
        <v>0</v>
      </c>
      <c r="AK421">
        <v>0</v>
      </c>
      <c r="AL421" t="s">
        <v>22</v>
      </c>
      <c r="AM421" t="s">
        <v>335</v>
      </c>
      <c r="AN421">
        <v>-0.76649999999999996</v>
      </c>
      <c r="AO421" t="s">
        <v>68</v>
      </c>
      <c r="AP421">
        <v>32.33</v>
      </c>
      <c r="AQ421">
        <v>0.32</v>
      </c>
      <c r="AR421">
        <v>13</v>
      </c>
      <c r="AS421">
        <v>42.178734509999998</v>
      </c>
    </row>
    <row r="422" spans="1:45" x14ac:dyDescent="0.2">
      <c r="A422" t="s">
        <v>840</v>
      </c>
      <c r="B422" t="s">
        <v>332</v>
      </c>
      <c r="C422" t="s">
        <v>169</v>
      </c>
      <c r="D422" t="s">
        <v>829</v>
      </c>
      <c r="E422">
        <v>39.387433999999999</v>
      </c>
      <c r="F422">
        <v>-75.636520000000004</v>
      </c>
      <c r="G422" t="s">
        <v>842</v>
      </c>
      <c r="H422" t="s">
        <v>554</v>
      </c>
      <c r="I422">
        <v>14.923287670000001</v>
      </c>
      <c r="J422">
        <v>6.75</v>
      </c>
      <c r="K422">
        <v>4.8819999999999997</v>
      </c>
      <c r="L422" t="s">
        <v>68</v>
      </c>
      <c r="M422">
        <f t="shared" si="6"/>
        <v>1.8680000000000003</v>
      </c>
      <c r="N422">
        <v>4.1100000000000003</v>
      </c>
      <c r="O422">
        <v>4.74</v>
      </c>
      <c r="P422">
        <v>2.0049999999999999</v>
      </c>
      <c r="Q422">
        <v>1.6</v>
      </c>
      <c r="R422">
        <v>-2.4700000000000002</v>
      </c>
      <c r="S422">
        <v>-0.43</v>
      </c>
      <c r="T422">
        <v>4.07</v>
      </c>
      <c r="U422">
        <v>0.63400000000000001</v>
      </c>
      <c r="V422">
        <v>0.23734643699999999</v>
      </c>
      <c r="W422">
        <v>119.2</v>
      </c>
      <c r="X422">
        <v>0.22700000000000001</v>
      </c>
      <c r="Y422">
        <v>0.40699999999999997</v>
      </c>
      <c r="Z422">
        <v>-0.14199999999999999</v>
      </c>
      <c r="AA422" t="s">
        <v>68</v>
      </c>
      <c r="AB422" t="s">
        <v>68</v>
      </c>
      <c r="AC422">
        <v>17.8</v>
      </c>
      <c r="AD422">
        <v>1102</v>
      </c>
      <c r="AE422">
        <v>29.292444939999999</v>
      </c>
      <c r="AF422" t="s">
        <v>68</v>
      </c>
      <c r="AG422" t="s">
        <v>841</v>
      </c>
      <c r="AH422">
        <v>0</v>
      </c>
      <c r="AI422">
        <v>1</v>
      </c>
      <c r="AJ422">
        <v>0</v>
      </c>
      <c r="AK422">
        <v>0</v>
      </c>
      <c r="AL422" t="s">
        <v>54</v>
      </c>
      <c r="AM422" t="s">
        <v>335</v>
      </c>
      <c r="AN422">
        <v>1.7999999999999999E-2</v>
      </c>
      <c r="AO422" t="s">
        <v>68</v>
      </c>
      <c r="AP422">
        <v>7.94</v>
      </c>
      <c r="AQ422">
        <v>0.36</v>
      </c>
      <c r="AR422">
        <v>1000</v>
      </c>
      <c r="AS422">
        <v>1000</v>
      </c>
    </row>
    <row r="423" spans="1:45" x14ac:dyDescent="0.2">
      <c r="A423" t="s">
        <v>843</v>
      </c>
      <c r="B423" t="s">
        <v>617</v>
      </c>
      <c r="C423" t="s">
        <v>169</v>
      </c>
      <c r="D423" t="s">
        <v>844</v>
      </c>
      <c r="E423">
        <v>36.848382839999999</v>
      </c>
      <c r="F423">
        <v>-121.757991</v>
      </c>
      <c r="G423" s="1">
        <v>39031</v>
      </c>
      <c r="H423" t="s">
        <v>846</v>
      </c>
      <c r="I423">
        <v>10.94246575</v>
      </c>
      <c r="J423">
        <v>3.32</v>
      </c>
      <c r="K423">
        <v>1.6950000000000001</v>
      </c>
      <c r="L423" t="s">
        <v>68</v>
      </c>
      <c r="M423">
        <f t="shared" si="6"/>
        <v>1.6249999999999998</v>
      </c>
      <c r="N423">
        <v>1.63</v>
      </c>
      <c r="O423">
        <v>10.11</v>
      </c>
      <c r="P423">
        <v>1.028</v>
      </c>
      <c r="Q423">
        <v>1.4450000000000001</v>
      </c>
      <c r="R423">
        <v>0.376</v>
      </c>
      <c r="S423">
        <v>0.91600000000000004</v>
      </c>
      <c r="T423">
        <v>1.069</v>
      </c>
      <c r="U423" t="s">
        <v>68</v>
      </c>
      <c r="V423" t="s">
        <v>68</v>
      </c>
      <c r="W423">
        <v>87.56</v>
      </c>
      <c r="X423" t="s">
        <v>68</v>
      </c>
      <c r="Y423">
        <v>0.875</v>
      </c>
      <c r="Z423">
        <v>8.4149999999999991</v>
      </c>
      <c r="AA423" t="s">
        <v>68</v>
      </c>
      <c r="AB423" t="s">
        <v>68</v>
      </c>
      <c r="AC423">
        <v>18.39</v>
      </c>
      <c r="AD423">
        <v>430</v>
      </c>
      <c r="AE423">
        <v>2.1630851409999998</v>
      </c>
      <c r="AF423" t="s">
        <v>68</v>
      </c>
      <c r="AG423" t="s">
        <v>621</v>
      </c>
      <c r="AH423">
        <v>0</v>
      </c>
      <c r="AI423">
        <v>1</v>
      </c>
      <c r="AJ423">
        <v>0</v>
      </c>
      <c r="AK423">
        <v>0</v>
      </c>
      <c r="AL423" t="s">
        <v>54</v>
      </c>
      <c r="AM423" t="s">
        <v>845</v>
      </c>
      <c r="AN423">
        <v>-7.2999999999999995E-2</v>
      </c>
      <c r="AO423" t="s">
        <v>68</v>
      </c>
      <c r="AP423">
        <v>5.15</v>
      </c>
      <c r="AQ423">
        <v>0.5</v>
      </c>
      <c r="AR423">
        <v>1000</v>
      </c>
      <c r="AS423">
        <v>70.547945209999995</v>
      </c>
    </row>
    <row r="424" spans="1:45" x14ac:dyDescent="0.2">
      <c r="A424" t="s">
        <v>847</v>
      </c>
      <c r="B424" t="s">
        <v>617</v>
      </c>
      <c r="C424" t="s">
        <v>169</v>
      </c>
      <c r="D424" t="s">
        <v>844</v>
      </c>
      <c r="E424">
        <v>36.83358174</v>
      </c>
      <c r="F424">
        <v>-121.74482860000001</v>
      </c>
      <c r="G424" s="1">
        <v>38758</v>
      </c>
      <c r="H424" t="s">
        <v>846</v>
      </c>
      <c r="I424">
        <v>10.96712329</v>
      </c>
      <c r="J424">
        <v>3.016</v>
      </c>
      <c r="K424">
        <v>0.86599999999999999</v>
      </c>
      <c r="L424" t="s">
        <v>68</v>
      </c>
      <c r="M424">
        <f t="shared" si="6"/>
        <v>2.15</v>
      </c>
      <c r="N424">
        <v>1.63</v>
      </c>
      <c r="O424">
        <v>10.11</v>
      </c>
      <c r="P424">
        <v>1.028</v>
      </c>
      <c r="Q424">
        <v>1.4450000000000001</v>
      </c>
      <c r="R424">
        <v>0.376</v>
      </c>
      <c r="S424">
        <v>0.91600000000000004</v>
      </c>
      <c r="T424">
        <v>1.069</v>
      </c>
      <c r="U424">
        <v>1.58</v>
      </c>
      <c r="V424">
        <v>-0.12628624899999999</v>
      </c>
      <c r="W424">
        <v>87.56</v>
      </c>
      <c r="X424">
        <v>0.70499999999999996</v>
      </c>
      <c r="Y424">
        <v>0.875</v>
      </c>
      <c r="Z424">
        <v>9.2439999999999998</v>
      </c>
      <c r="AA424" t="s">
        <v>68</v>
      </c>
      <c r="AB424" t="s">
        <v>68</v>
      </c>
      <c r="AC424">
        <v>18.39</v>
      </c>
      <c r="AD424">
        <v>430</v>
      </c>
      <c r="AE424">
        <v>2.1630851409999998</v>
      </c>
      <c r="AF424" t="s">
        <v>68</v>
      </c>
      <c r="AG424" t="s">
        <v>621</v>
      </c>
      <c r="AH424">
        <v>0</v>
      </c>
      <c r="AI424">
        <v>1</v>
      </c>
      <c r="AJ424">
        <v>0</v>
      </c>
      <c r="AK424">
        <v>0</v>
      </c>
      <c r="AL424" t="s">
        <v>54</v>
      </c>
      <c r="AM424" t="s">
        <v>845</v>
      </c>
      <c r="AN424">
        <v>-0.1095</v>
      </c>
      <c r="AO424" t="s">
        <v>68</v>
      </c>
      <c r="AP424">
        <v>25.22</v>
      </c>
      <c r="AQ424">
        <v>0.37</v>
      </c>
      <c r="AR424">
        <v>915</v>
      </c>
      <c r="AS424">
        <v>230.31963469999999</v>
      </c>
    </row>
    <row r="425" spans="1:45" x14ac:dyDescent="0.2">
      <c r="A425" t="s">
        <v>848</v>
      </c>
      <c r="B425" t="s">
        <v>617</v>
      </c>
      <c r="C425" t="s">
        <v>169</v>
      </c>
      <c r="D425" t="s">
        <v>844</v>
      </c>
      <c r="E425">
        <v>36.823284270000002</v>
      </c>
      <c r="F425">
        <v>-121.7465043</v>
      </c>
      <c r="G425" s="1">
        <v>38758</v>
      </c>
      <c r="H425" t="s">
        <v>419</v>
      </c>
      <c r="I425">
        <v>11.969863009999999</v>
      </c>
      <c r="J425">
        <v>3.23</v>
      </c>
      <c r="K425">
        <v>1.617</v>
      </c>
      <c r="L425" t="s">
        <v>68</v>
      </c>
      <c r="M425">
        <f t="shared" si="6"/>
        <v>1.613</v>
      </c>
      <c r="N425">
        <v>1.63</v>
      </c>
      <c r="O425">
        <v>8.39</v>
      </c>
      <c r="P425">
        <v>1.028</v>
      </c>
      <c r="Q425">
        <v>1.4450000000000001</v>
      </c>
      <c r="R425">
        <v>0.376</v>
      </c>
      <c r="S425">
        <v>0.91600000000000004</v>
      </c>
      <c r="T425">
        <v>1.069</v>
      </c>
      <c r="U425">
        <v>1.65</v>
      </c>
      <c r="V425">
        <v>-0.19176800699999999</v>
      </c>
      <c r="W425">
        <v>87.56</v>
      </c>
      <c r="X425">
        <v>0.77500000000000002</v>
      </c>
      <c r="Y425">
        <v>0.875</v>
      </c>
      <c r="Z425">
        <v>6.7729999999999997</v>
      </c>
      <c r="AA425" t="s">
        <v>68</v>
      </c>
      <c r="AB425" t="s">
        <v>68</v>
      </c>
      <c r="AC425">
        <v>18.39</v>
      </c>
      <c r="AD425">
        <v>430</v>
      </c>
      <c r="AE425">
        <v>2.1630851409999998</v>
      </c>
      <c r="AF425" t="s">
        <v>68</v>
      </c>
      <c r="AG425" t="s">
        <v>621</v>
      </c>
      <c r="AH425">
        <v>0</v>
      </c>
      <c r="AI425">
        <v>1</v>
      </c>
      <c r="AJ425">
        <v>0</v>
      </c>
      <c r="AK425">
        <v>0</v>
      </c>
      <c r="AL425" t="s">
        <v>54</v>
      </c>
      <c r="AM425" t="s">
        <v>845</v>
      </c>
      <c r="AN425">
        <v>-0.11</v>
      </c>
      <c r="AO425" t="s">
        <v>68</v>
      </c>
      <c r="AP425">
        <v>12</v>
      </c>
      <c r="AQ425">
        <v>0.24</v>
      </c>
      <c r="AR425">
        <v>59143</v>
      </c>
      <c r="AS425">
        <v>109.0909091</v>
      </c>
    </row>
    <row r="426" spans="1:45" x14ac:dyDescent="0.2">
      <c r="A426" t="s">
        <v>849</v>
      </c>
      <c r="B426" t="s">
        <v>617</v>
      </c>
      <c r="C426" t="s">
        <v>169</v>
      </c>
      <c r="D426" t="s">
        <v>844</v>
      </c>
      <c r="E426">
        <v>36.823153730000001</v>
      </c>
      <c r="F426">
        <v>-121.746546</v>
      </c>
      <c r="G426" t="s">
        <v>850</v>
      </c>
      <c r="H426" t="s">
        <v>419</v>
      </c>
      <c r="I426">
        <v>11.97808219</v>
      </c>
      <c r="J426">
        <v>2.36</v>
      </c>
      <c r="K426">
        <v>1.1160000000000001</v>
      </c>
      <c r="L426" t="s">
        <v>68</v>
      </c>
      <c r="M426">
        <f t="shared" si="6"/>
        <v>1.2439999999999998</v>
      </c>
      <c r="N426">
        <v>1.63</v>
      </c>
      <c r="O426">
        <v>8.39</v>
      </c>
      <c r="P426">
        <v>1.028</v>
      </c>
      <c r="Q426">
        <v>1.4450000000000001</v>
      </c>
      <c r="R426">
        <v>0.376</v>
      </c>
      <c r="S426">
        <v>0.91600000000000004</v>
      </c>
      <c r="T426">
        <v>1.069</v>
      </c>
      <c r="U426">
        <v>1.7</v>
      </c>
      <c r="V426">
        <v>-0.238540692</v>
      </c>
      <c r="W426">
        <v>87.56</v>
      </c>
      <c r="X426">
        <v>0.82499999999999996</v>
      </c>
      <c r="Y426">
        <v>0.875</v>
      </c>
      <c r="Z426">
        <v>7.274</v>
      </c>
      <c r="AA426" t="s">
        <v>68</v>
      </c>
      <c r="AB426" t="s">
        <v>68</v>
      </c>
      <c r="AC426">
        <v>18.39</v>
      </c>
      <c r="AD426">
        <v>430</v>
      </c>
      <c r="AE426">
        <v>2.1630851409999998</v>
      </c>
      <c r="AF426" t="s">
        <v>68</v>
      </c>
      <c r="AG426" t="s">
        <v>621</v>
      </c>
      <c r="AH426">
        <v>0</v>
      </c>
      <c r="AI426">
        <v>1</v>
      </c>
      <c r="AJ426">
        <v>0</v>
      </c>
      <c r="AK426">
        <v>0</v>
      </c>
      <c r="AL426" t="s">
        <v>54</v>
      </c>
      <c r="AM426" t="s">
        <v>845</v>
      </c>
      <c r="AN426">
        <v>-0.11</v>
      </c>
      <c r="AO426" t="s">
        <v>68</v>
      </c>
      <c r="AP426">
        <v>9.61</v>
      </c>
      <c r="AQ426">
        <v>0.24</v>
      </c>
      <c r="AR426">
        <v>1593</v>
      </c>
      <c r="AS426">
        <v>87.363636360000001</v>
      </c>
    </row>
    <row r="427" spans="1:45" x14ac:dyDescent="0.2">
      <c r="A427" t="s">
        <v>851</v>
      </c>
      <c r="B427" t="s">
        <v>617</v>
      </c>
      <c r="C427" t="s">
        <v>169</v>
      </c>
      <c r="D427" t="s">
        <v>844</v>
      </c>
      <c r="E427">
        <v>36.848252000000002</v>
      </c>
      <c r="F427">
        <v>-121.7578579</v>
      </c>
      <c r="G427" s="1">
        <v>39031</v>
      </c>
      <c r="H427" t="s">
        <v>846</v>
      </c>
      <c r="I427">
        <v>10.94246575</v>
      </c>
      <c r="J427">
        <v>3.84</v>
      </c>
      <c r="K427">
        <v>0.68100000000000005</v>
      </c>
      <c r="L427" t="s">
        <v>68</v>
      </c>
      <c r="M427">
        <f t="shared" si="6"/>
        <v>3.1589999999999998</v>
      </c>
      <c r="N427">
        <v>1.63</v>
      </c>
      <c r="O427">
        <v>10.11</v>
      </c>
      <c r="P427">
        <v>1.028</v>
      </c>
      <c r="Q427">
        <v>1.4450000000000001</v>
      </c>
      <c r="R427">
        <v>0.376</v>
      </c>
      <c r="S427">
        <v>0.91600000000000004</v>
      </c>
      <c r="T427">
        <v>1.069</v>
      </c>
      <c r="U427" t="s">
        <v>68</v>
      </c>
      <c r="V427" t="s">
        <v>68</v>
      </c>
      <c r="W427">
        <v>87.56</v>
      </c>
      <c r="X427" t="s">
        <v>68</v>
      </c>
      <c r="Y427">
        <v>0.875</v>
      </c>
      <c r="Z427">
        <v>9.4290000000000003</v>
      </c>
      <c r="AA427" t="s">
        <v>68</v>
      </c>
      <c r="AB427" t="s">
        <v>68</v>
      </c>
      <c r="AC427">
        <v>18.39</v>
      </c>
      <c r="AD427">
        <v>430</v>
      </c>
      <c r="AE427">
        <v>2.1630851409999998</v>
      </c>
      <c r="AF427" t="s">
        <v>68</v>
      </c>
      <c r="AG427" t="s">
        <v>621</v>
      </c>
      <c r="AH427">
        <v>0</v>
      </c>
      <c r="AI427">
        <v>1</v>
      </c>
      <c r="AJ427">
        <v>0</v>
      </c>
      <c r="AK427">
        <v>0</v>
      </c>
      <c r="AL427" t="s">
        <v>54</v>
      </c>
      <c r="AM427" t="s">
        <v>845</v>
      </c>
      <c r="AN427">
        <v>-0.11</v>
      </c>
      <c r="AO427" t="s">
        <v>68</v>
      </c>
      <c r="AP427">
        <v>11.65</v>
      </c>
      <c r="AQ427">
        <v>0.61</v>
      </c>
      <c r="AR427" t="s">
        <v>68</v>
      </c>
      <c r="AS427">
        <v>105.9090909</v>
      </c>
    </row>
    <row r="428" spans="1:45" x14ac:dyDescent="0.2">
      <c r="A428" t="s">
        <v>852</v>
      </c>
      <c r="B428" t="s">
        <v>617</v>
      </c>
      <c r="C428" t="s">
        <v>169</v>
      </c>
      <c r="D428" t="s">
        <v>844</v>
      </c>
      <c r="E428">
        <v>36.833617150000002</v>
      </c>
      <c r="F428">
        <v>-121.7444911</v>
      </c>
      <c r="G428" s="1">
        <v>38758</v>
      </c>
      <c r="H428" t="s">
        <v>846</v>
      </c>
      <c r="I428">
        <v>10.96712329</v>
      </c>
      <c r="J428">
        <v>3.42</v>
      </c>
      <c r="K428">
        <v>1.694</v>
      </c>
      <c r="L428" t="s">
        <v>68</v>
      </c>
      <c r="M428">
        <f t="shared" si="6"/>
        <v>1.726</v>
      </c>
      <c r="N428">
        <v>1.63</v>
      </c>
      <c r="O428">
        <v>10.11</v>
      </c>
      <c r="P428">
        <v>1.028</v>
      </c>
      <c r="Q428">
        <v>1.4450000000000001</v>
      </c>
      <c r="R428">
        <v>0.376</v>
      </c>
      <c r="S428">
        <v>0.91600000000000004</v>
      </c>
      <c r="T428">
        <v>1.069</v>
      </c>
      <c r="U428" t="s">
        <v>68</v>
      </c>
      <c r="V428" t="s">
        <v>68</v>
      </c>
      <c r="W428">
        <v>87.56</v>
      </c>
      <c r="X428" t="s">
        <v>68</v>
      </c>
      <c r="Y428">
        <v>0.875</v>
      </c>
      <c r="Z428">
        <v>8.4160000000000004</v>
      </c>
      <c r="AA428" t="s">
        <v>68</v>
      </c>
      <c r="AB428" t="s">
        <v>68</v>
      </c>
      <c r="AC428">
        <v>18.39</v>
      </c>
      <c r="AD428">
        <v>430</v>
      </c>
      <c r="AE428">
        <v>2.1630851409999998</v>
      </c>
      <c r="AF428" t="s">
        <v>68</v>
      </c>
      <c r="AG428" t="s">
        <v>621</v>
      </c>
      <c r="AH428">
        <v>0</v>
      </c>
      <c r="AI428">
        <v>1</v>
      </c>
      <c r="AJ428">
        <v>0</v>
      </c>
      <c r="AK428">
        <v>0</v>
      </c>
      <c r="AL428" t="s">
        <v>54</v>
      </c>
      <c r="AM428" t="s">
        <v>845</v>
      </c>
      <c r="AN428">
        <v>-2.9000000000000001E-2</v>
      </c>
      <c r="AO428" t="s">
        <v>68</v>
      </c>
      <c r="AP428">
        <v>23.36</v>
      </c>
      <c r="AQ428">
        <v>0.35</v>
      </c>
      <c r="AR428">
        <v>1000</v>
      </c>
      <c r="AS428">
        <v>805.51724139999999</v>
      </c>
    </row>
    <row r="429" spans="1:45" x14ac:dyDescent="0.2">
      <c r="A429" t="s">
        <v>853</v>
      </c>
      <c r="B429" t="s">
        <v>617</v>
      </c>
      <c r="C429" t="s">
        <v>169</v>
      </c>
      <c r="D429" t="s">
        <v>844</v>
      </c>
      <c r="E429">
        <v>36.823153730000001</v>
      </c>
      <c r="F429">
        <v>-121.746546</v>
      </c>
      <c r="G429" s="1">
        <v>38758</v>
      </c>
      <c r="H429" t="s">
        <v>419</v>
      </c>
      <c r="I429">
        <v>11.969863009999999</v>
      </c>
      <c r="J429">
        <v>3.61</v>
      </c>
      <c r="K429">
        <v>2.0630000000000002</v>
      </c>
      <c r="L429" t="s">
        <v>68</v>
      </c>
      <c r="M429">
        <f t="shared" si="6"/>
        <v>1.5469999999999997</v>
      </c>
      <c r="N429">
        <v>1.63</v>
      </c>
      <c r="O429">
        <v>8.39</v>
      </c>
      <c r="P429">
        <v>1.028</v>
      </c>
      <c r="Q429">
        <v>1.4450000000000001</v>
      </c>
      <c r="R429">
        <v>0.376</v>
      </c>
      <c r="S429">
        <v>0.91600000000000004</v>
      </c>
      <c r="T429">
        <v>1.069</v>
      </c>
      <c r="U429" t="s">
        <v>68</v>
      </c>
      <c r="V429" t="s">
        <v>68</v>
      </c>
      <c r="W429">
        <v>87.56</v>
      </c>
      <c r="X429" t="s">
        <v>68</v>
      </c>
      <c r="Y429">
        <v>0.875</v>
      </c>
      <c r="Z429">
        <v>6.327</v>
      </c>
      <c r="AA429" t="s">
        <v>68</v>
      </c>
      <c r="AB429" t="s">
        <v>68</v>
      </c>
      <c r="AC429">
        <v>18.39</v>
      </c>
      <c r="AD429">
        <v>430</v>
      </c>
      <c r="AE429">
        <v>2.1630851409999998</v>
      </c>
      <c r="AF429" t="s">
        <v>68</v>
      </c>
      <c r="AG429" t="s">
        <v>621</v>
      </c>
      <c r="AH429">
        <v>0</v>
      </c>
      <c r="AI429">
        <v>1</v>
      </c>
      <c r="AJ429">
        <v>0</v>
      </c>
      <c r="AK429">
        <v>0</v>
      </c>
      <c r="AL429" t="s">
        <v>54</v>
      </c>
      <c r="AM429" t="s">
        <v>845</v>
      </c>
      <c r="AN429">
        <v>-2.9000000000000001E-2</v>
      </c>
      <c r="AO429" t="s">
        <v>68</v>
      </c>
      <c r="AP429">
        <v>26.43</v>
      </c>
      <c r="AQ429">
        <v>0.35</v>
      </c>
      <c r="AR429">
        <v>1000</v>
      </c>
      <c r="AS429">
        <v>911.37931030000004</v>
      </c>
    </row>
    <row r="430" spans="1:45" x14ac:dyDescent="0.2">
      <c r="A430" t="s">
        <v>854</v>
      </c>
      <c r="B430" t="s">
        <v>617</v>
      </c>
      <c r="C430" t="s">
        <v>169</v>
      </c>
      <c r="D430" t="s">
        <v>844</v>
      </c>
      <c r="E430">
        <v>36.815313330000002</v>
      </c>
      <c r="F430">
        <v>-121.7607466</v>
      </c>
      <c r="G430" t="s">
        <v>850</v>
      </c>
      <c r="H430" t="s">
        <v>419</v>
      </c>
      <c r="I430">
        <v>11.97808219</v>
      </c>
      <c r="J430">
        <v>4.49</v>
      </c>
      <c r="K430">
        <v>1.571</v>
      </c>
      <c r="L430" t="s">
        <v>68</v>
      </c>
      <c r="M430">
        <f t="shared" si="6"/>
        <v>2.9190000000000005</v>
      </c>
      <c r="N430">
        <v>1.63</v>
      </c>
      <c r="O430">
        <v>8.39</v>
      </c>
      <c r="P430">
        <v>1.028</v>
      </c>
      <c r="Q430">
        <v>1.4450000000000001</v>
      </c>
      <c r="R430">
        <v>0.376</v>
      </c>
      <c r="S430">
        <v>0.91600000000000004</v>
      </c>
      <c r="T430">
        <v>1.069</v>
      </c>
      <c r="U430">
        <v>1.58</v>
      </c>
      <c r="V430">
        <v>-0.12628624899999999</v>
      </c>
      <c r="W430">
        <v>87.56</v>
      </c>
      <c r="X430">
        <v>0.70499999999999996</v>
      </c>
      <c r="Y430">
        <v>0.875</v>
      </c>
      <c r="Z430">
        <v>6.819</v>
      </c>
      <c r="AA430" t="s">
        <v>68</v>
      </c>
      <c r="AB430" t="s">
        <v>68</v>
      </c>
      <c r="AC430">
        <v>18.39</v>
      </c>
      <c r="AD430">
        <v>430</v>
      </c>
      <c r="AE430">
        <v>2.1630851409999998</v>
      </c>
      <c r="AF430" t="s">
        <v>68</v>
      </c>
      <c r="AG430" t="s">
        <v>621</v>
      </c>
      <c r="AH430">
        <v>0</v>
      </c>
      <c r="AI430">
        <v>1</v>
      </c>
      <c r="AJ430">
        <v>0</v>
      </c>
      <c r="AK430">
        <v>0</v>
      </c>
      <c r="AL430" t="s">
        <v>54</v>
      </c>
      <c r="AM430" t="s">
        <v>845</v>
      </c>
      <c r="AN430">
        <v>-0.621</v>
      </c>
      <c r="AO430" t="s">
        <v>68</v>
      </c>
      <c r="AP430">
        <v>44.45</v>
      </c>
      <c r="AQ430">
        <v>0.04</v>
      </c>
      <c r="AR430">
        <v>11845</v>
      </c>
      <c r="AS430">
        <v>71.578099839999993</v>
      </c>
    </row>
    <row r="431" spans="1:45" x14ac:dyDescent="0.2">
      <c r="A431" t="s">
        <v>855</v>
      </c>
      <c r="B431" t="s">
        <v>168</v>
      </c>
      <c r="C431" t="s">
        <v>169</v>
      </c>
      <c r="D431" t="s">
        <v>856</v>
      </c>
      <c r="E431">
        <v>30.409980000000001</v>
      </c>
      <c r="F431">
        <v>-88.413560000000004</v>
      </c>
      <c r="G431" t="s">
        <v>858</v>
      </c>
      <c r="H431" t="s">
        <v>859</v>
      </c>
      <c r="I431">
        <v>4.7315068489999996</v>
      </c>
      <c r="J431">
        <v>3.36</v>
      </c>
      <c r="K431">
        <v>3.6269999999999998</v>
      </c>
      <c r="L431" t="s">
        <v>68</v>
      </c>
      <c r="M431">
        <f t="shared" si="6"/>
        <v>-0.2669999999999999</v>
      </c>
      <c r="N431">
        <v>4.13</v>
      </c>
      <c r="O431">
        <v>13.1</v>
      </c>
      <c r="P431">
        <v>1.0669999999999999</v>
      </c>
      <c r="Q431">
        <v>0.68</v>
      </c>
      <c r="R431">
        <v>-0.5</v>
      </c>
      <c r="S431">
        <v>0.09</v>
      </c>
      <c r="T431">
        <v>1.18</v>
      </c>
      <c r="U431">
        <v>0.94</v>
      </c>
      <c r="V431">
        <v>-0.22033898299999999</v>
      </c>
      <c r="W431">
        <v>68</v>
      </c>
      <c r="X431">
        <v>0.87029999999999996</v>
      </c>
      <c r="Y431">
        <v>6.9699999999999998E-2</v>
      </c>
      <c r="Z431">
        <v>9.4730000000000008</v>
      </c>
      <c r="AA431" t="s">
        <v>68</v>
      </c>
      <c r="AB431" t="s">
        <v>68</v>
      </c>
      <c r="AC431">
        <v>23.91</v>
      </c>
      <c r="AD431">
        <v>1389</v>
      </c>
      <c r="AE431">
        <v>7.7621219549999996</v>
      </c>
      <c r="AF431" t="s">
        <v>68</v>
      </c>
      <c r="AG431" t="s">
        <v>857</v>
      </c>
      <c r="AH431">
        <v>0</v>
      </c>
      <c r="AI431">
        <v>0</v>
      </c>
      <c r="AJ431">
        <v>1</v>
      </c>
      <c r="AK431">
        <v>0</v>
      </c>
      <c r="AL431" t="s">
        <v>48</v>
      </c>
      <c r="AM431" t="s">
        <v>49</v>
      </c>
      <c r="AN431">
        <v>-0.183</v>
      </c>
      <c r="AO431" t="s">
        <v>68</v>
      </c>
      <c r="AP431">
        <v>425</v>
      </c>
      <c r="AQ431">
        <v>0</v>
      </c>
      <c r="AR431">
        <v>1730</v>
      </c>
      <c r="AS431">
        <v>2322.404372</v>
      </c>
    </row>
    <row r="432" spans="1:45" x14ac:dyDescent="0.2">
      <c r="A432" t="s">
        <v>860</v>
      </c>
      <c r="B432" t="s">
        <v>168</v>
      </c>
      <c r="C432" t="s">
        <v>169</v>
      </c>
      <c r="D432" t="s">
        <v>856</v>
      </c>
      <c r="E432">
        <v>30.409610000000001</v>
      </c>
      <c r="F432">
        <v>-88.413560000000004</v>
      </c>
      <c r="G432" t="s">
        <v>858</v>
      </c>
      <c r="H432" t="s">
        <v>859</v>
      </c>
      <c r="I432">
        <v>4.7315068489999996</v>
      </c>
      <c r="J432">
        <v>3.5</v>
      </c>
      <c r="K432">
        <v>4.8879999999999999</v>
      </c>
      <c r="L432" t="s">
        <v>68</v>
      </c>
      <c r="M432">
        <f t="shared" si="6"/>
        <v>-1.3879999999999999</v>
      </c>
      <c r="N432">
        <v>4.13</v>
      </c>
      <c r="O432">
        <v>13.1</v>
      </c>
      <c r="P432">
        <v>1.0669999999999999</v>
      </c>
      <c r="Q432">
        <v>0.68</v>
      </c>
      <c r="R432">
        <v>-0.5</v>
      </c>
      <c r="S432">
        <v>0.09</v>
      </c>
      <c r="T432">
        <v>1.18</v>
      </c>
      <c r="U432">
        <v>0.92</v>
      </c>
      <c r="V432">
        <v>-0.20338983099999999</v>
      </c>
      <c r="W432">
        <v>68</v>
      </c>
      <c r="X432">
        <v>0.85029999999999994</v>
      </c>
      <c r="Y432">
        <v>6.9699999999999998E-2</v>
      </c>
      <c r="Z432">
        <v>8.2119999999999997</v>
      </c>
      <c r="AA432" t="s">
        <v>68</v>
      </c>
      <c r="AB432" t="s">
        <v>68</v>
      </c>
      <c r="AC432">
        <v>23.91</v>
      </c>
      <c r="AD432">
        <v>1389</v>
      </c>
      <c r="AE432">
        <v>7.7621219549999996</v>
      </c>
      <c r="AF432" t="s">
        <v>68</v>
      </c>
      <c r="AG432" t="s">
        <v>857</v>
      </c>
      <c r="AH432">
        <v>0</v>
      </c>
      <c r="AI432">
        <v>0</v>
      </c>
      <c r="AJ432">
        <v>1</v>
      </c>
      <c r="AK432">
        <v>0</v>
      </c>
      <c r="AL432" t="s">
        <v>48</v>
      </c>
      <c r="AM432" t="s">
        <v>49</v>
      </c>
      <c r="AN432">
        <v>-0.183</v>
      </c>
      <c r="AO432" t="s">
        <v>68</v>
      </c>
      <c r="AP432">
        <v>468.09</v>
      </c>
      <c r="AQ432">
        <v>0</v>
      </c>
      <c r="AR432">
        <v>1000</v>
      </c>
      <c r="AS432">
        <v>2557.8688520000001</v>
      </c>
    </row>
    <row r="433" spans="1:45" x14ac:dyDescent="0.2">
      <c r="A433" t="s">
        <v>861</v>
      </c>
      <c r="B433" t="s">
        <v>168</v>
      </c>
      <c r="C433" t="s">
        <v>169</v>
      </c>
      <c r="D433" t="s">
        <v>856</v>
      </c>
      <c r="E433">
        <v>30.409400000000002</v>
      </c>
      <c r="F433">
        <v>-88.413510000000002</v>
      </c>
      <c r="G433" t="s">
        <v>858</v>
      </c>
      <c r="H433" t="s">
        <v>859</v>
      </c>
      <c r="I433">
        <v>4.7315068489999996</v>
      </c>
      <c r="J433">
        <v>2.0099999999999998</v>
      </c>
      <c r="K433">
        <v>4.3029999999999999</v>
      </c>
      <c r="L433" t="s">
        <v>68</v>
      </c>
      <c r="M433">
        <f t="shared" si="6"/>
        <v>-2.2930000000000001</v>
      </c>
      <c r="N433">
        <v>4.13</v>
      </c>
      <c r="O433">
        <v>13.1</v>
      </c>
      <c r="P433">
        <v>1.0669999999999999</v>
      </c>
      <c r="Q433">
        <v>0.68</v>
      </c>
      <c r="R433">
        <v>-0.5</v>
      </c>
      <c r="S433">
        <v>0.09</v>
      </c>
      <c r="T433">
        <v>1.18</v>
      </c>
      <c r="U433">
        <v>0.95</v>
      </c>
      <c r="V433">
        <v>-0.228813559</v>
      </c>
      <c r="W433">
        <v>68</v>
      </c>
      <c r="X433">
        <v>0.88029999999999997</v>
      </c>
      <c r="Y433">
        <v>6.9699999999999998E-2</v>
      </c>
      <c r="Z433">
        <v>8.7970000000000006</v>
      </c>
      <c r="AA433" t="s">
        <v>68</v>
      </c>
      <c r="AB433" t="s">
        <v>68</v>
      </c>
      <c r="AC433">
        <v>23.91</v>
      </c>
      <c r="AD433">
        <v>1389</v>
      </c>
      <c r="AE433">
        <v>7.7621219549999996</v>
      </c>
      <c r="AF433" t="s">
        <v>68</v>
      </c>
      <c r="AG433" t="s">
        <v>857</v>
      </c>
      <c r="AH433">
        <v>0</v>
      </c>
      <c r="AI433">
        <v>0</v>
      </c>
      <c r="AJ433">
        <v>1</v>
      </c>
      <c r="AK433">
        <v>0</v>
      </c>
      <c r="AL433" t="s">
        <v>48</v>
      </c>
      <c r="AM433" t="s">
        <v>49</v>
      </c>
      <c r="AN433">
        <v>-0.183</v>
      </c>
      <c r="AO433" t="s">
        <v>68</v>
      </c>
      <c r="AP433">
        <v>505.7</v>
      </c>
      <c r="AQ433">
        <v>0</v>
      </c>
      <c r="AR433">
        <v>1000</v>
      </c>
      <c r="AS433">
        <v>2763.3879780000002</v>
      </c>
    </row>
    <row r="434" spans="1:45" x14ac:dyDescent="0.2">
      <c r="A434" t="s">
        <v>862</v>
      </c>
      <c r="B434" t="s">
        <v>168</v>
      </c>
      <c r="C434" t="s">
        <v>169</v>
      </c>
      <c r="D434" t="s">
        <v>856</v>
      </c>
      <c r="E434">
        <v>30.375260000000001</v>
      </c>
      <c r="F434">
        <v>-88.412450000000007</v>
      </c>
      <c r="G434" t="s">
        <v>863</v>
      </c>
      <c r="H434" t="s">
        <v>864</v>
      </c>
      <c r="I434">
        <v>4.736986301</v>
      </c>
      <c r="J434">
        <v>4.38</v>
      </c>
      <c r="K434">
        <v>6.2640000000000002</v>
      </c>
      <c r="L434" t="s">
        <v>68</v>
      </c>
      <c r="M434">
        <f t="shared" si="6"/>
        <v>-1.8840000000000003</v>
      </c>
      <c r="N434">
        <v>4.13</v>
      </c>
      <c r="O434">
        <v>13.1</v>
      </c>
      <c r="P434">
        <v>1.0669999999999999</v>
      </c>
      <c r="Q434">
        <v>0.68</v>
      </c>
      <c r="R434">
        <v>-0.5</v>
      </c>
      <c r="S434">
        <v>0.09</v>
      </c>
      <c r="T434">
        <v>1.18</v>
      </c>
      <c r="U434">
        <v>0.38</v>
      </c>
      <c r="V434">
        <v>0.25423728800000001</v>
      </c>
      <c r="W434">
        <v>68</v>
      </c>
      <c r="X434">
        <v>0.31030000000000002</v>
      </c>
      <c r="Y434">
        <v>6.9699999999999998E-2</v>
      </c>
      <c r="Z434">
        <v>6.8360000000000003</v>
      </c>
      <c r="AA434">
        <v>13.51</v>
      </c>
      <c r="AB434">
        <v>0.48</v>
      </c>
      <c r="AC434">
        <v>23.91</v>
      </c>
      <c r="AD434">
        <v>1389</v>
      </c>
      <c r="AE434">
        <v>7.7621219549999996</v>
      </c>
      <c r="AF434" t="s">
        <v>68</v>
      </c>
      <c r="AG434" t="s">
        <v>822</v>
      </c>
      <c r="AH434">
        <v>0</v>
      </c>
      <c r="AI434">
        <v>0</v>
      </c>
      <c r="AJ434">
        <v>1</v>
      </c>
      <c r="AK434">
        <v>0</v>
      </c>
      <c r="AL434" t="s">
        <v>48</v>
      </c>
      <c r="AM434" t="s">
        <v>49</v>
      </c>
      <c r="AN434">
        <v>-0.51100000000000001</v>
      </c>
      <c r="AO434" t="s">
        <v>68</v>
      </c>
      <c r="AP434">
        <v>63.07</v>
      </c>
      <c r="AQ434">
        <v>0.03</v>
      </c>
      <c r="AR434">
        <v>1000</v>
      </c>
      <c r="AS434">
        <v>123.4246575</v>
      </c>
    </row>
    <row r="435" spans="1:45" x14ac:dyDescent="0.2">
      <c r="A435" t="s">
        <v>865</v>
      </c>
      <c r="B435" t="s">
        <v>168</v>
      </c>
      <c r="C435" t="s">
        <v>169</v>
      </c>
      <c r="D435" t="s">
        <v>856</v>
      </c>
      <c r="E435">
        <v>30.375520000000002</v>
      </c>
      <c r="F435">
        <v>-88.412469999999999</v>
      </c>
      <c r="G435" t="s">
        <v>863</v>
      </c>
      <c r="H435" t="s">
        <v>864</v>
      </c>
      <c r="I435">
        <v>4.736986301</v>
      </c>
      <c r="J435">
        <v>3.43</v>
      </c>
      <c r="K435">
        <v>3.9980000000000002</v>
      </c>
      <c r="L435" t="s">
        <v>68</v>
      </c>
      <c r="M435">
        <f t="shared" si="6"/>
        <v>-0.56800000000000006</v>
      </c>
      <c r="N435">
        <v>4.13</v>
      </c>
      <c r="O435">
        <v>13.1</v>
      </c>
      <c r="P435">
        <v>1.0669999999999999</v>
      </c>
      <c r="Q435">
        <v>0.68</v>
      </c>
      <c r="R435">
        <v>-0.5</v>
      </c>
      <c r="S435">
        <v>0.09</v>
      </c>
      <c r="T435">
        <v>1.18</v>
      </c>
      <c r="U435">
        <v>0.44</v>
      </c>
      <c r="V435">
        <v>0.20338983099999999</v>
      </c>
      <c r="W435">
        <v>68</v>
      </c>
      <c r="X435">
        <v>0.37030000000000002</v>
      </c>
      <c r="Y435">
        <v>6.9699999999999998E-2</v>
      </c>
      <c r="Z435">
        <v>9.1020000000000003</v>
      </c>
      <c r="AA435">
        <v>13.51</v>
      </c>
      <c r="AB435">
        <v>0.48</v>
      </c>
      <c r="AC435">
        <v>23.91</v>
      </c>
      <c r="AD435">
        <v>1389</v>
      </c>
      <c r="AE435">
        <v>7.7621219549999996</v>
      </c>
      <c r="AF435" t="s">
        <v>68</v>
      </c>
      <c r="AG435" t="s">
        <v>822</v>
      </c>
      <c r="AH435">
        <v>0</v>
      </c>
      <c r="AI435">
        <v>0</v>
      </c>
      <c r="AJ435">
        <v>1</v>
      </c>
      <c r="AK435">
        <v>0</v>
      </c>
      <c r="AL435" t="s">
        <v>48</v>
      </c>
      <c r="AM435" t="s">
        <v>49</v>
      </c>
      <c r="AN435">
        <v>-0.51100000000000001</v>
      </c>
      <c r="AO435" t="s">
        <v>68</v>
      </c>
      <c r="AP435">
        <v>55.37</v>
      </c>
      <c r="AQ435">
        <v>0.03</v>
      </c>
      <c r="AR435">
        <v>2805</v>
      </c>
      <c r="AS435">
        <v>108.3561644</v>
      </c>
    </row>
    <row r="436" spans="1:45" x14ac:dyDescent="0.2">
      <c r="A436" t="s">
        <v>866</v>
      </c>
      <c r="B436" t="s">
        <v>168</v>
      </c>
      <c r="C436" t="s">
        <v>169</v>
      </c>
      <c r="D436" t="s">
        <v>856</v>
      </c>
      <c r="E436">
        <v>30.37576</v>
      </c>
      <c r="F436">
        <v>-88.412409999999994</v>
      </c>
      <c r="G436" t="s">
        <v>863</v>
      </c>
      <c r="H436" t="s">
        <v>864</v>
      </c>
      <c r="I436">
        <v>4.736986301</v>
      </c>
      <c r="J436">
        <v>7.2270000000000003</v>
      </c>
      <c r="K436">
        <v>6.08</v>
      </c>
      <c r="L436" t="s">
        <v>68</v>
      </c>
      <c r="M436">
        <f t="shared" si="6"/>
        <v>1.1470000000000002</v>
      </c>
      <c r="N436">
        <v>4.13</v>
      </c>
      <c r="O436">
        <v>13.1</v>
      </c>
      <c r="P436">
        <v>1.0669999999999999</v>
      </c>
      <c r="Q436">
        <v>0.68</v>
      </c>
      <c r="R436">
        <v>-0.5</v>
      </c>
      <c r="S436">
        <v>0.09</v>
      </c>
      <c r="T436">
        <v>1.18</v>
      </c>
      <c r="U436">
        <v>0.49</v>
      </c>
      <c r="V436">
        <v>0.16101694899999999</v>
      </c>
      <c r="W436">
        <v>68</v>
      </c>
      <c r="X436">
        <v>0.42030000000000001</v>
      </c>
      <c r="Y436">
        <v>6.9699999999999998E-2</v>
      </c>
      <c r="Z436">
        <v>7.02</v>
      </c>
      <c r="AA436">
        <v>13.51</v>
      </c>
      <c r="AB436">
        <v>0.48</v>
      </c>
      <c r="AC436">
        <v>23.91</v>
      </c>
      <c r="AD436">
        <v>1389</v>
      </c>
      <c r="AE436">
        <v>7.7621219549999996</v>
      </c>
      <c r="AF436" t="s">
        <v>68</v>
      </c>
      <c r="AG436" t="s">
        <v>822</v>
      </c>
      <c r="AH436">
        <v>0</v>
      </c>
      <c r="AI436">
        <v>0</v>
      </c>
      <c r="AJ436">
        <v>1</v>
      </c>
      <c r="AK436">
        <v>0</v>
      </c>
      <c r="AL436" t="s">
        <v>48</v>
      </c>
      <c r="AM436" t="s">
        <v>49</v>
      </c>
      <c r="AN436">
        <v>-0.51100000000000001</v>
      </c>
      <c r="AO436" t="s">
        <v>68</v>
      </c>
      <c r="AP436">
        <v>47.35</v>
      </c>
      <c r="AQ436">
        <v>0.03</v>
      </c>
      <c r="AR436">
        <v>1000</v>
      </c>
      <c r="AS436">
        <v>92.661448140000005</v>
      </c>
    </row>
    <row r="437" spans="1:45" x14ac:dyDescent="0.2">
      <c r="A437" t="s">
        <v>867</v>
      </c>
      <c r="B437" t="s">
        <v>168</v>
      </c>
      <c r="C437" t="s">
        <v>169</v>
      </c>
      <c r="D437" t="s">
        <v>856</v>
      </c>
      <c r="E437">
        <v>30.397670000000002</v>
      </c>
      <c r="F437">
        <v>-88.413489999999996</v>
      </c>
      <c r="G437" t="s">
        <v>863</v>
      </c>
      <c r="H437" t="s">
        <v>864</v>
      </c>
      <c r="I437">
        <v>4.736986301</v>
      </c>
      <c r="J437">
        <v>5.84</v>
      </c>
      <c r="K437">
        <v>2.8079999999999998</v>
      </c>
      <c r="L437" t="s">
        <v>68</v>
      </c>
      <c r="M437">
        <f t="shared" si="6"/>
        <v>3.032</v>
      </c>
      <c r="N437">
        <v>4.13</v>
      </c>
      <c r="O437">
        <v>13.1</v>
      </c>
      <c r="P437">
        <v>1.0669999999999999</v>
      </c>
      <c r="Q437">
        <v>0.68</v>
      </c>
      <c r="R437">
        <v>-0.5</v>
      </c>
      <c r="S437">
        <v>0.09</v>
      </c>
      <c r="T437">
        <v>1.18</v>
      </c>
      <c r="U437">
        <v>0.4</v>
      </c>
      <c r="V437">
        <v>0.23728813600000001</v>
      </c>
      <c r="W437">
        <v>68</v>
      </c>
      <c r="X437">
        <v>0.33029999999999998</v>
      </c>
      <c r="Y437">
        <v>6.9699999999999998E-2</v>
      </c>
      <c r="Z437">
        <v>10.292</v>
      </c>
      <c r="AA437" t="s">
        <v>68</v>
      </c>
      <c r="AB437" t="s">
        <v>68</v>
      </c>
      <c r="AC437">
        <v>23.91</v>
      </c>
      <c r="AD437">
        <v>1389</v>
      </c>
      <c r="AE437">
        <v>7.7621219549999996</v>
      </c>
      <c r="AF437" t="s">
        <v>68</v>
      </c>
      <c r="AG437" t="s">
        <v>822</v>
      </c>
      <c r="AH437">
        <v>0</v>
      </c>
      <c r="AI437">
        <v>0</v>
      </c>
      <c r="AJ437">
        <v>1</v>
      </c>
      <c r="AK437">
        <v>0</v>
      </c>
      <c r="AL437" t="s">
        <v>48</v>
      </c>
      <c r="AM437" t="s">
        <v>49</v>
      </c>
      <c r="AN437">
        <v>3.6499999999999998E-2</v>
      </c>
      <c r="AO437" t="s">
        <v>68</v>
      </c>
      <c r="AP437">
        <v>474.4</v>
      </c>
      <c r="AQ437">
        <v>0.05</v>
      </c>
      <c r="AR437">
        <v>250</v>
      </c>
      <c r="AS437">
        <v>1000</v>
      </c>
    </row>
    <row r="438" spans="1:45" x14ac:dyDescent="0.2">
      <c r="A438" t="s">
        <v>868</v>
      </c>
      <c r="B438" t="s">
        <v>168</v>
      </c>
      <c r="C438" t="s">
        <v>169</v>
      </c>
      <c r="D438" t="s">
        <v>856</v>
      </c>
      <c r="E438">
        <v>30.39798</v>
      </c>
      <c r="F438">
        <v>-88.413510000000002</v>
      </c>
      <c r="G438" t="s">
        <v>863</v>
      </c>
      <c r="H438" t="s">
        <v>864</v>
      </c>
      <c r="I438">
        <v>4.736986301</v>
      </c>
      <c r="J438">
        <v>3.25</v>
      </c>
      <c r="K438">
        <v>3.03</v>
      </c>
      <c r="L438" t="s">
        <v>68</v>
      </c>
      <c r="M438">
        <f t="shared" si="6"/>
        <v>0.2200000000000002</v>
      </c>
      <c r="N438">
        <v>4.13</v>
      </c>
      <c r="O438">
        <v>13.1</v>
      </c>
      <c r="P438">
        <v>1.0669999999999999</v>
      </c>
      <c r="Q438">
        <v>0.68</v>
      </c>
      <c r="R438">
        <v>-0.5</v>
      </c>
      <c r="S438">
        <v>0.09</v>
      </c>
      <c r="T438">
        <v>1.18</v>
      </c>
      <c r="U438">
        <v>0.42</v>
      </c>
      <c r="V438">
        <v>0.22033898299999999</v>
      </c>
      <c r="W438">
        <v>68</v>
      </c>
      <c r="X438">
        <v>0.3503</v>
      </c>
      <c r="Y438">
        <v>6.9699999999999998E-2</v>
      </c>
      <c r="Z438">
        <v>10.07</v>
      </c>
      <c r="AA438" t="s">
        <v>68</v>
      </c>
      <c r="AB438" t="s">
        <v>68</v>
      </c>
      <c r="AC438">
        <v>23.91</v>
      </c>
      <c r="AD438">
        <v>1389</v>
      </c>
      <c r="AE438">
        <v>7.7621219549999996</v>
      </c>
      <c r="AF438" t="s">
        <v>68</v>
      </c>
      <c r="AG438" t="s">
        <v>822</v>
      </c>
      <c r="AH438">
        <v>0</v>
      </c>
      <c r="AI438">
        <v>0</v>
      </c>
      <c r="AJ438">
        <v>1</v>
      </c>
      <c r="AK438">
        <v>0</v>
      </c>
      <c r="AL438" t="s">
        <v>48</v>
      </c>
      <c r="AM438" t="s">
        <v>49</v>
      </c>
      <c r="AN438">
        <v>3.6499999999999998E-2</v>
      </c>
      <c r="AO438" t="s">
        <v>68</v>
      </c>
      <c r="AP438">
        <v>476.42</v>
      </c>
      <c r="AQ438">
        <v>0.05</v>
      </c>
      <c r="AR438">
        <v>318</v>
      </c>
      <c r="AS438">
        <v>1000</v>
      </c>
    </row>
    <row r="439" spans="1:45" x14ac:dyDescent="0.2">
      <c r="A439" t="s">
        <v>869</v>
      </c>
      <c r="B439" t="s">
        <v>168</v>
      </c>
      <c r="C439" t="s">
        <v>169</v>
      </c>
      <c r="D439" t="s">
        <v>856</v>
      </c>
      <c r="E439">
        <v>30.39828</v>
      </c>
      <c r="F439">
        <v>-88.413629999999998</v>
      </c>
      <c r="G439" t="s">
        <v>863</v>
      </c>
      <c r="H439" t="s">
        <v>864</v>
      </c>
      <c r="I439">
        <v>4.736986301</v>
      </c>
      <c r="J439">
        <v>2.59</v>
      </c>
      <c r="K439">
        <v>1.5469999999999999</v>
      </c>
      <c r="L439" t="s">
        <v>68</v>
      </c>
      <c r="M439">
        <f t="shared" si="6"/>
        <v>1.0429999999999999</v>
      </c>
      <c r="N439">
        <v>4.13</v>
      </c>
      <c r="O439">
        <v>13.1</v>
      </c>
      <c r="P439">
        <v>1.0669999999999999</v>
      </c>
      <c r="Q439">
        <v>0.68</v>
      </c>
      <c r="R439">
        <v>-0.5</v>
      </c>
      <c r="S439">
        <v>0.09</v>
      </c>
      <c r="T439">
        <v>1.18</v>
      </c>
      <c r="U439">
        <v>0.51</v>
      </c>
      <c r="V439">
        <v>0.144067797</v>
      </c>
      <c r="W439">
        <v>68</v>
      </c>
      <c r="X439">
        <v>0.44030000000000002</v>
      </c>
      <c r="Y439">
        <v>6.9699999999999998E-2</v>
      </c>
      <c r="Z439">
        <v>11.553000000000001</v>
      </c>
      <c r="AA439" t="s">
        <v>68</v>
      </c>
      <c r="AB439" t="s">
        <v>68</v>
      </c>
      <c r="AC439">
        <v>23.91</v>
      </c>
      <c r="AD439">
        <v>1389</v>
      </c>
      <c r="AE439">
        <v>7.7621219549999996</v>
      </c>
      <c r="AF439" t="s">
        <v>68</v>
      </c>
      <c r="AG439" t="s">
        <v>822</v>
      </c>
      <c r="AH439">
        <v>0</v>
      </c>
      <c r="AI439">
        <v>0</v>
      </c>
      <c r="AJ439">
        <v>1</v>
      </c>
      <c r="AK439">
        <v>0</v>
      </c>
      <c r="AL439" t="s">
        <v>48</v>
      </c>
      <c r="AM439" t="s">
        <v>49</v>
      </c>
      <c r="AN439">
        <v>3.6499999999999998E-2</v>
      </c>
      <c r="AO439" t="s">
        <v>68</v>
      </c>
      <c r="AP439">
        <v>460.03</v>
      </c>
      <c r="AQ439">
        <v>0.05</v>
      </c>
      <c r="AR439">
        <v>170</v>
      </c>
      <c r="AS439">
        <v>1000</v>
      </c>
    </row>
    <row r="440" spans="1:45" x14ac:dyDescent="0.2">
      <c r="A440" t="s">
        <v>870</v>
      </c>
      <c r="B440" t="s">
        <v>168</v>
      </c>
      <c r="C440" t="s">
        <v>169</v>
      </c>
      <c r="D440" t="s">
        <v>856</v>
      </c>
      <c r="E440">
        <v>30.399930000000001</v>
      </c>
      <c r="F440">
        <v>-88.413920000000005</v>
      </c>
      <c r="G440" t="s">
        <v>863</v>
      </c>
      <c r="H440" t="s">
        <v>864</v>
      </c>
      <c r="I440">
        <v>4.736986301</v>
      </c>
      <c r="J440">
        <v>2.08</v>
      </c>
      <c r="K440">
        <v>0.27</v>
      </c>
      <c r="L440" t="s">
        <v>68</v>
      </c>
      <c r="M440">
        <f t="shared" si="6"/>
        <v>1.81</v>
      </c>
      <c r="N440">
        <v>4.13</v>
      </c>
      <c r="O440">
        <v>13.1</v>
      </c>
      <c r="P440">
        <v>1.0669999999999999</v>
      </c>
      <c r="Q440">
        <v>0.68</v>
      </c>
      <c r="R440">
        <v>-0.5</v>
      </c>
      <c r="S440">
        <v>0.09</v>
      </c>
      <c r="T440">
        <v>1.18</v>
      </c>
      <c r="U440">
        <v>0.52</v>
      </c>
      <c r="V440">
        <v>0.13559321999999999</v>
      </c>
      <c r="W440">
        <v>68</v>
      </c>
      <c r="X440">
        <v>0.45029999999999998</v>
      </c>
      <c r="Y440">
        <v>6.9699999999999998E-2</v>
      </c>
      <c r="Z440">
        <v>12.83</v>
      </c>
      <c r="AA440" t="s">
        <v>68</v>
      </c>
      <c r="AB440" t="s">
        <v>68</v>
      </c>
      <c r="AC440">
        <v>23.91</v>
      </c>
      <c r="AD440">
        <v>1389</v>
      </c>
      <c r="AE440">
        <v>7.7621219549999996</v>
      </c>
      <c r="AF440" t="s">
        <v>68</v>
      </c>
      <c r="AG440" t="s">
        <v>822</v>
      </c>
      <c r="AH440">
        <v>0</v>
      </c>
      <c r="AI440">
        <v>0</v>
      </c>
      <c r="AJ440">
        <v>1</v>
      </c>
      <c r="AK440">
        <v>0</v>
      </c>
      <c r="AL440" t="s">
        <v>48</v>
      </c>
      <c r="AM440" t="s">
        <v>49</v>
      </c>
      <c r="AN440">
        <v>-0.438</v>
      </c>
      <c r="AO440" t="s">
        <v>68</v>
      </c>
      <c r="AP440">
        <v>790</v>
      </c>
      <c r="AQ440">
        <v>7.0000000000000007E-2</v>
      </c>
      <c r="AR440">
        <v>117</v>
      </c>
      <c r="AS440">
        <v>1803.6529680000001</v>
      </c>
    </row>
    <row r="441" spans="1:45" x14ac:dyDescent="0.2">
      <c r="A441" t="s">
        <v>871</v>
      </c>
      <c r="B441" t="s">
        <v>168</v>
      </c>
      <c r="C441" t="s">
        <v>169</v>
      </c>
      <c r="D441" t="s">
        <v>856</v>
      </c>
      <c r="E441">
        <v>30.39995</v>
      </c>
      <c r="F441">
        <v>-88.414249999999996</v>
      </c>
      <c r="G441" t="s">
        <v>863</v>
      </c>
      <c r="H441" t="s">
        <v>864</v>
      </c>
      <c r="I441">
        <v>4.736986301</v>
      </c>
      <c r="J441">
        <v>2.2200000000000002</v>
      </c>
      <c r="K441">
        <v>0.69899999999999995</v>
      </c>
      <c r="L441" t="s">
        <v>68</v>
      </c>
      <c r="M441">
        <f t="shared" si="6"/>
        <v>1.5210000000000004</v>
      </c>
      <c r="N441">
        <v>4.13</v>
      </c>
      <c r="O441">
        <v>13.1</v>
      </c>
      <c r="P441">
        <v>1.0669999999999999</v>
      </c>
      <c r="Q441">
        <v>0.68</v>
      </c>
      <c r="R441">
        <v>-0.5</v>
      </c>
      <c r="S441">
        <v>0.09</v>
      </c>
      <c r="T441">
        <v>1.18</v>
      </c>
      <c r="U441">
        <v>0.48</v>
      </c>
      <c r="V441">
        <v>0.169491525</v>
      </c>
      <c r="W441">
        <v>68</v>
      </c>
      <c r="X441">
        <v>0.4103</v>
      </c>
      <c r="Y441">
        <v>6.9699999999999998E-2</v>
      </c>
      <c r="Z441">
        <v>12.401</v>
      </c>
      <c r="AA441" t="s">
        <v>68</v>
      </c>
      <c r="AB441" t="s">
        <v>68</v>
      </c>
      <c r="AC441">
        <v>23.91</v>
      </c>
      <c r="AD441">
        <v>1389</v>
      </c>
      <c r="AE441">
        <v>7.7621219549999996</v>
      </c>
      <c r="AF441" t="s">
        <v>68</v>
      </c>
      <c r="AG441" t="s">
        <v>822</v>
      </c>
      <c r="AH441">
        <v>0</v>
      </c>
      <c r="AI441">
        <v>0</v>
      </c>
      <c r="AJ441">
        <v>1</v>
      </c>
      <c r="AK441">
        <v>0</v>
      </c>
      <c r="AL441" t="s">
        <v>48</v>
      </c>
      <c r="AM441" t="s">
        <v>49</v>
      </c>
      <c r="AN441">
        <v>-0.438</v>
      </c>
      <c r="AO441" t="s">
        <v>68</v>
      </c>
      <c r="AP441">
        <v>860</v>
      </c>
      <c r="AQ441">
        <v>7.0000000000000007E-2</v>
      </c>
      <c r="AR441">
        <v>120</v>
      </c>
      <c r="AS441">
        <v>1963.4703199999999</v>
      </c>
    </row>
    <row r="442" spans="1:45" x14ac:dyDescent="0.2">
      <c r="A442" t="s">
        <v>872</v>
      </c>
      <c r="B442" t="s">
        <v>168</v>
      </c>
      <c r="C442" t="s">
        <v>169</v>
      </c>
      <c r="D442" t="s">
        <v>856</v>
      </c>
      <c r="E442">
        <v>30.39997</v>
      </c>
      <c r="F442">
        <v>-88.413920000000005</v>
      </c>
      <c r="G442" t="s">
        <v>863</v>
      </c>
      <c r="H442" t="s">
        <v>864</v>
      </c>
      <c r="I442">
        <v>4.736986301</v>
      </c>
      <c r="J442">
        <v>1.97</v>
      </c>
      <c r="K442">
        <v>0.63300000000000001</v>
      </c>
      <c r="L442" t="s">
        <v>68</v>
      </c>
      <c r="M442">
        <f t="shared" si="6"/>
        <v>1.337</v>
      </c>
      <c r="N442">
        <v>4.13</v>
      </c>
      <c r="O442">
        <v>13.1</v>
      </c>
      <c r="P442">
        <v>1.0669999999999999</v>
      </c>
      <c r="Q442">
        <v>0.68</v>
      </c>
      <c r="R442">
        <v>-0.5</v>
      </c>
      <c r="S442">
        <v>0.09</v>
      </c>
      <c r="T442">
        <v>1.18</v>
      </c>
      <c r="U442">
        <v>0.46</v>
      </c>
      <c r="V442">
        <v>0.186440678</v>
      </c>
      <c r="W442">
        <v>68</v>
      </c>
      <c r="X442">
        <v>0.39029999999999998</v>
      </c>
      <c r="Y442">
        <v>6.9699999999999998E-2</v>
      </c>
      <c r="Z442">
        <v>12.467000000000001</v>
      </c>
      <c r="AA442" t="s">
        <v>68</v>
      </c>
      <c r="AB442" t="s">
        <v>68</v>
      </c>
      <c r="AC442">
        <v>23.91</v>
      </c>
      <c r="AD442">
        <v>1389</v>
      </c>
      <c r="AE442">
        <v>7.7621219549999996</v>
      </c>
      <c r="AF442" t="s">
        <v>68</v>
      </c>
      <c r="AG442" t="s">
        <v>822</v>
      </c>
      <c r="AH442">
        <v>0</v>
      </c>
      <c r="AI442">
        <v>0</v>
      </c>
      <c r="AJ442">
        <v>1</v>
      </c>
      <c r="AK442">
        <v>0</v>
      </c>
      <c r="AL442" t="s">
        <v>48</v>
      </c>
      <c r="AM442" t="s">
        <v>49</v>
      </c>
      <c r="AN442">
        <v>-0.438</v>
      </c>
      <c r="AO442" t="s">
        <v>68</v>
      </c>
      <c r="AP442">
        <v>932</v>
      </c>
      <c r="AQ442">
        <v>7.0000000000000007E-2</v>
      </c>
      <c r="AR442">
        <v>112</v>
      </c>
      <c r="AS442">
        <v>2127.853881</v>
      </c>
    </row>
    <row r="443" spans="1:45" x14ac:dyDescent="0.2">
      <c r="A443" t="s">
        <v>873</v>
      </c>
      <c r="B443" t="s">
        <v>168</v>
      </c>
      <c r="C443" t="s">
        <v>169</v>
      </c>
      <c r="D443" t="s">
        <v>856</v>
      </c>
      <c r="E443">
        <v>30.362480000000001</v>
      </c>
      <c r="F443">
        <v>-88.414029999999997</v>
      </c>
      <c r="G443" s="1">
        <v>40942</v>
      </c>
      <c r="H443" t="s">
        <v>874</v>
      </c>
      <c r="I443">
        <v>4.7315068489999996</v>
      </c>
      <c r="J443">
        <v>4.78</v>
      </c>
      <c r="K443">
        <v>6.7859999999999996</v>
      </c>
      <c r="L443" t="s">
        <v>68</v>
      </c>
      <c r="M443">
        <f t="shared" si="6"/>
        <v>-2.0059999999999993</v>
      </c>
      <c r="N443">
        <v>4.13</v>
      </c>
      <c r="O443">
        <v>13.1</v>
      </c>
      <c r="P443">
        <v>1.0669999999999999</v>
      </c>
      <c r="Q443">
        <v>0.68</v>
      </c>
      <c r="R443">
        <v>-0.5</v>
      </c>
      <c r="S443">
        <v>0.09</v>
      </c>
      <c r="T443">
        <v>1.18</v>
      </c>
      <c r="U443">
        <v>0.35</v>
      </c>
      <c r="V443">
        <v>0.27966101700000001</v>
      </c>
      <c r="W443">
        <v>68</v>
      </c>
      <c r="X443">
        <v>0.28029999999999999</v>
      </c>
      <c r="Y443">
        <v>6.9699999999999998E-2</v>
      </c>
      <c r="Z443">
        <v>6.3140000000000001</v>
      </c>
      <c r="AA443">
        <v>16.2</v>
      </c>
      <c r="AB443">
        <v>0.42</v>
      </c>
      <c r="AC443">
        <v>23.91</v>
      </c>
      <c r="AD443">
        <v>1389</v>
      </c>
      <c r="AE443">
        <v>7.7621219549999996</v>
      </c>
      <c r="AF443" t="s">
        <v>68</v>
      </c>
      <c r="AG443" t="s">
        <v>341</v>
      </c>
      <c r="AH443">
        <v>1</v>
      </c>
      <c r="AI443">
        <v>0</v>
      </c>
      <c r="AJ443">
        <v>0</v>
      </c>
      <c r="AK443">
        <v>0</v>
      </c>
      <c r="AL443" t="s">
        <v>22</v>
      </c>
      <c r="AM443" t="s">
        <v>49</v>
      </c>
      <c r="AN443">
        <v>-0.47499999999999998</v>
      </c>
      <c r="AO443" t="s">
        <v>68</v>
      </c>
      <c r="AP443">
        <v>18.53</v>
      </c>
      <c r="AQ443">
        <v>0.18</v>
      </c>
      <c r="AR443">
        <v>1000</v>
      </c>
      <c r="AS443">
        <v>39.010526319999997</v>
      </c>
    </row>
    <row r="444" spans="1:45" x14ac:dyDescent="0.2">
      <c r="A444" t="s">
        <v>875</v>
      </c>
      <c r="B444" t="s">
        <v>168</v>
      </c>
      <c r="C444" t="s">
        <v>169</v>
      </c>
      <c r="D444" t="s">
        <v>856</v>
      </c>
      <c r="E444">
        <v>30.362310000000001</v>
      </c>
      <c r="F444">
        <v>-88.414109999999994</v>
      </c>
      <c r="G444" s="1">
        <v>40942</v>
      </c>
      <c r="H444" t="s">
        <v>874</v>
      </c>
      <c r="I444">
        <v>4.7315068489999996</v>
      </c>
      <c r="J444">
        <v>3.29</v>
      </c>
      <c r="K444">
        <v>4.0389999999999997</v>
      </c>
      <c r="L444" t="s">
        <v>68</v>
      </c>
      <c r="M444">
        <f t="shared" si="6"/>
        <v>-0.74899999999999967</v>
      </c>
      <c r="N444">
        <v>4.13</v>
      </c>
      <c r="O444">
        <v>13.1</v>
      </c>
      <c r="P444">
        <v>1.0669999999999999</v>
      </c>
      <c r="Q444">
        <v>0.68</v>
      </c>
      <c r="R444">
        <v>-0.5</v>
      </c>
      <c r="S444">
        <v>0.09</v>
      </c>
      <c r="T444">
        <v>1.18</v>
      </c>
      <c r="U444">
        <v>0.42</v>
      </c>
      <c r="V444">
        <v>0.22033898299999999</v>
      </c>
      <c r="W444">
        <v>68</v>
      </c>
      <c r="X444">
        <v>0.3503</v>
      </c>
      <c r="Y444">
        <v>6.9699999999999998E-2</v>
      </c>
      <c r="Z444">
        <v>9.0609999999999999</v>
      </c>
      <c r="AA444">
        <v>16.2</v>
      </c>
      <c r="AB444">
        <v>0.42</v>
      </c>
      <c r="AC444">
        <v>23.91</v>
      </c>
      <c r="AD444">
        <v>1389</v>
      </c>
      <c r="AE444">
        <v>7.7621219549999996</v>
      </c>
      <c r="AF444" t="s">
        <v>68</v>
      </c>
      <c r="AG444" t="s">
        <v>341</v>
      </c>
      <c r="AH444">
        <v>1</v>
      </c>
      <c r="AI444">
        <v>0</v>
      </c>
      <c r="AJ444">
        <v>0</v>
      </c>
      <c r="AK444">
        <v>0</v>
      </c>
      <c r="AL444" t="s">
        <v>22</v>
      </c>
      <c r="AM444" t="s">
        <v>49</v>
      </c>
      <c r="AN444">
        <v>-0.47499999999999998</v>
      </c>
      <c r="AO444" t="s">
        <v>68</v>
      </c>
      <c r="AP444">
        <v>34.44</v>
      </c>
      <c r="AQ444">
        <v>0.18</v>
      </c>
      <c r="AR444">
        <v>3849</v>
      </c>
      <c r="AS444">
        <v>72.505263159999998</v>
      </c>
    </row>
    <row r="445" spans="1:45" x14ac:dyDescent="0.2">
      <c r="A445" t="s">
        <v>876</v>
      </c>
      <c r="B445" t="s">
        <v>168</v>
      </c>
      <c r="C445" t="s">
        <v>169</v>
      </c>
      <c r="D445" t="s">
        <v>856</v>
      </c>
      <c r="E445">
        <v>30.362189999999998</v>
      </c>
      <c r="F445">
        <v>-88.414209999999997</v>
      </c>
      <c r="G445" s="1">
        <v>40942</v>
      </c>
      <c r="H445" t="s">
        <v>874</v>
      </c>
      <c r="I445">
        <v>4.7315068489999996</v>
      </c>
      <c r="J445">
        <v>4.34</v>
      </c>
      <c r="K445">
        <v>4.1589999999999998</v>
      </c>
      <c r="L445" t="s">
        <v>68</v>
      </c>
      <c r="M445">
        <f t="shared" si="6"/>
        <v>0.18100000000000005</v>
      </c>
      <c r="N445">
        <v>4.13</v>
      </c>
      <c r="O445">
        <v>13.1</v>
      </c>
      <c r="P445">
        <v>1.0669999999999999</v>
      </c>
      <c r="Q445">
        <v>0.68</v>
      </c>
      <c r="R445">
        <v>-0.5</v>
      </c>
      <c r="S445">
        <v>0.09</v>
      </c>
      <c r="T445">
        <v>1.18</v>
      </c>
      <c r="U445">
        <v>0.42</v>
      </c>
      <c r="V445">
        <v>0.22033898299999999</v>
      </c>
      <c r="W445">
        <v>68</v>
      </c>
      <c r="X445">
        <v>0.3503</v>
      </c>
      <c r="Y445">
        <v>6.9699999999999998E-2</v>
      </c>
      <c r="Z445">
        <v>8.9410000000000007</v>
      </c>
      <c r="AA445">
        <v>16.2</v>
      </c>
      <c r="AB445">
        <v>0.42</v>
      </c>
      <c r="AC445">
        <v>23.91</v>
      </c>
      <c r="AD445">
        <v>1389</v>
      </c>
      <c r="AE445">
        <v>7.7621219549999996</v>
      </c>
      <c r="AF445" t="s">
        <v>68</v>
      </c>
      <c r="AG445" t="s">
        <v>341</v>
      </c>
      <c r="AH445">
        <v>1</v>
      </c>
      <c r="AI445">
        <v>0</v>
      </c>
      <c r="AJ445">
        <v>0</v>
      </c>
      <c r="AK445">
        <v>0</v>
      </c>
      <c r="AL445" t="s">
        <v>22</v>
      </c>
      <c r="AM445" t="s">
        <v>49</v>
      </c>
      <c r="AN445">
        <v>-0.47499999999999998</v>
      </c>
      <c r="AO445" t="s">
        <v>68</v>
      </c>
      <c r="AP445">
        <v>41.35</v>
      </c>
      <c r="AQ445">
        <v>0.18</v>
      </c>
      <c r="AR445">
        <v>1000</v>
      </c>
      <c r="AS445">
        <v>87.052631579999996</v>
      </c>
    </row>
    <row r="446" spans="1:45" x14ac:dyDescent="0.2">
      <c r="A446" t="s">
        <v>877</v>
      </c>
      <c r="B446" t="s">
        <v>332</v>
      </c>
      <c r="C446" t="s">
        <v>169</v>
      </c>
      <c r="D446" t="s">
        <v>878</v>
      </c>
      <c r="E446">
        <v>29.978103000000001</v>
      </c>
      <c r="F446">
        <v>-81.319480999999996</v>
      </c>
      <c r="G446" t="s">
        <v>879</v>
      </c>
      <c r="H446" s="1">
        <v>43687</v>
      </c>
      <c r="I446">
        <v>5.9397260269999999</v>
      </c>
      <c r="J446" t="s">
        <v>68</v>
      </c>
      <c r="K446">
        <v>2.8239999999999998</v>
      </c>
      <c r="L446" t="s">
        <v>68</v>
      </c>
      <c r="M446" t="s">
        <v>68</v>
      </c>
      <c r="N446">
        <v>3.61</v>
      </c>
      <c r="O446">
        <v>2.17</v>
      </c>
      <c r="P446">
        <v>1.018</v>
      </c>
      <c r="Q446">
        <v>0.51800000000000002</v>
      </c>
      <c r="R446">
        <v>-0.86399999999999999</v>
      </c>
      <c r="S446">
        <v>-0.17299999999999999</v>
      </c>
      <c r="T446">
        <v>1.3819999999999999</v>
      </c>
      <c r="U446">
        <v>0.74176666700000005</v>
      </c>
      <c r="V446">
        <v>-0.16191509900000001</v>
      </c>
      <c r="W446">
        <v>68</v>
      </c>
      <c r="X446">
        <v>0.67206666699999995</v>
      </c>
      <c r="Y446">
        <v>6.9699999999999998E-2</v>
      </c>
      <c r="Z446">
        <v>-0.65400000000000003</v>
      </c>
      <c r="AA446">
        <v>21.754999999999999</v>
      </c>
      <c r="AB446">
        <v>0.34</v>
      </c>
      <c r="AC446">
        <v>25.38</v>
      </c>
      <c r="AD446">
        <v>1047</v>
      </c>
      <c r="AE446">
        <v>4.0325468390000001</v>
      </c>
      <c r="AF446" t="s">
        <v>68</v>
      </c>
      <c r="AG446" t="s">
        <v>341</v>
      </c>
      <c r="AH446">
        <v>1</v>
      </c>
      <c r="AI446">
        <v>0</v>
      </c>
      <c r="AJ446">
        <v>0</v>
      </c>
      <c r="AK446">
        <v>0</v>
      </c>
      <c r="AL446" t="s">
        <v>22</v>
      </c>
      <c r="AM446" t="s">
        <v>146</v>
      </c>
      <c r="AN446">
        <v>-0.219</v>
      </c>
      <c r="AO446" t="s">
        <v>68</v>
      </c>
      <c r="AP446">
        <v>6.71</v>
      </c>
      <c r="AQ446">
        <v>0.49</v>
      </c>
      <c r="AR446">
        <v>1156</v>
      </c>
      <c r="AS446">
        <v>30.639269410000001</v>
      </c>
    </row>
    <row r="447" spans="1:45" x14ac:dyDescent="0.2">
      <c r="A447" t="s">
        <v>880</v>
      </c>
      <c r="B447" t="s">
        <v>332</v>
      </c>
      <c r="C447" t="s">
        <v>169</v>
      </c>
      <c r="D447" t="s">
        <v>878</v>
      </c>
      <c r="E447">
        <v>29.978058000000001</v>
      </c>
      <c r="F447">
        <v>-81.319336000000007</v>
      </c>
      <c r="G447" t="s">
        <v>879</v>
      </c>
      <c r="H447" s="1">
        <v>43718</v>
      </c>
      <c r="I447">
        <v>5.9424657529999996</v>
      </c>
      <c r="J447" t="s">
        <v>68</v>
      </c>
      <c r="K447">
        <v>4.7320000000000002</v>
      </c>
      <c r="L447" t="s">
        <v>68</v>
      </c>
      <c r="M447" t="s">
        <v>68</v>
      </c>
      <c r="N447">
        <v>3.61</v>
      </c>
      <c r="O447">
        <v>2.17</v>
      </c>
      <c r="P447">
        <v>1.018</v>
      </c>
      <c r="Q447">
        <v>0.51800000000000002</v>
      </c>
      <c r="R447">
        <v>-0.86399999999999999</v>
      </c>
      <c r="S447">
        <v>-0.17299999999999999</v>
      </c>
      <c r="T447">
        <v>1.3819999999999999</v>
      </c>
      <c r="U447">
        <v>0.66900000000000004</v>
      </c>
      <c r="V447">
        <v>-0.109261939</v>
      </c>
      <c r="W447">
        <v>68</v>
      </c>
      <c r="X447">
        <v>0.59930000000000005</v>
      </c>
      <c r="Y447">
        <v>6.9699999999999998E-2</v>
      </c>
      <c r="Z447">
        <v>-2.5619999999999998</v>
      </c>
      <c r="AA447">
        <v>21.754999999999999</v>
      </c>
      <c r="AB447">
        <v>0.34</v>
      </c>
      <c r="AC447">
        <v>25.38</v>
      </c>
      <c r="AD447">
        <v>1047</v>
      </c>
      <c r="AE447">
        <v>4.0325468390000001</v>
      </c>
      <c r="AF447" t="s">
        <v>68</v>
      </c>
      <c r="AG447" t="s">
        <v>341</v>
      </c>
      <c r="AH447">
        <v>1</v>
      </c>
      <c r="AI447">
        <v>0</v>
      </c>
      <c r="AJ447">
        <v>0</v>
      </c>
      <c r="AK447">
        <v>0</v>
      </c>
      <c r="AL447" t="s">
        <v>22</v>
      </c>
      <c r="AM447" t="s">
        <v>146</v>
      </c>
      <c r="AN447">
        <v>-0.11</v>
      </c>
      <c r="AO447" t="s">
        <v>68</v>
      </c>
      <c r="AP447">
        <v>7.63</v>
      </c>
      <c r="AQ447">
        <v>0.49</v>
      </c>
      <c r="AR447">
        <v>1000</v>
      </c>
      <c r="AS447">
        <v>69.363636360000001</v>
      </c>
    </row>
    <row r="448" spans="1:45" x14ac:dyDescent="0.2">
      <c r="A448" t="s">
        <v>881</v>
      </c>
      <c r="B448" t="s">
        <v>332</v>
      </c>
      <c r="C448" t="s">
        <v>169</v>
      </c>
      <c r="D448" t="s">
        <v>878</v>
      </c>
      <c r="E448">
        <v>29.978193999999998</v>
      </c>
      <c r="F448">
        <v>-81.319314000000006</v>
      </c>
      <c r="G448" t="s">
        <v>879</v>
      </c>
      <c r="H448" s="1">
        <v>43718</v>
      </c>
      <c r="I448">
        <v>5.9424657529999996</v>
      </c>
      <c r="J448" t="s">
        <v>68</v>
      </c>
      <c r="K448">
        <v>-2.1640000000000001</v>
      </c>
      <c r="L448" t="s">
        <v>68</v>
      </c>
      <c r="M448" t="s">
        <v>68</v>
      </c>
      <c r="N448">
        <v>3.61</v>
      </c>
      <c r="O448">
        <v>2.17</v>
      </c>
      <c r="P448">
        <v>1.018</v>
      </c>
      <c r="Q448">
        <v>0.51800000000000002</v>
      </c>
      <c r="R448">
        <v>-0.86399999999999999</v>
      </c>
      <c r="S448">
        <v>-0.17299999999999999</v>
      </c>
      <c r="T448">
        <v>1.3819999999999999</v>
      </c>
      <c r="U448">
        <v>0.53133330000000001</v>
      </c>
      <c r="V448">
        <v>-9.6478290000000001E-3</v>
      </c>
      <c r="W448">
        <v>68</v>
      </c>
      <c r="X448">
        <v>0.46163330000000002</v>
      </c>
      <c r="Y448">
        <v>6.9699999999999998E-2</v>
      </c>
      <c r="Z448">
        <v>4.3339999999999996</v>
      </c>
      <c r="AA448">
        <v>21.754999999999999</v>
      </c>
      <c r="AB448">
        <v>0.34</v>
      </c>
      <c r="AC448">
        <v>25.38</v>
      </c>
      <c r="AD448">
        <v>1047</v>
      </c>
      <c r="AE448">
        <v>4.0325468390000001</v>
      </c>
      <c r="AF448" t="s">
        <v>68</v>
      </c>
      <c r="AG448" t="s">
        <v>341</v>
      </c>
      <c r="AH448">
        <v>1</v>
      </c>
      <c r="AI448">
        <v>0</v>
      </c>
      <c r="AJ448">
        <v>0</v>
      </c>
      <c r="AK448">
        <v>0</v>
      </c>
      <c r="AL448" t="s">
        <v>22</v>
      </c>
      <c r="AM448" t="s">
        <v>146</v>
      </c>
      <c r="AN448">
        <v>-0.219</v>
      </c>
      <c r="AO448" t="s">
        <v>68</v>
      </c>
      <c r="AP448">
        <v>5.79</v>
      </c>
      <c r="AQ448">
        <v>0.49</v>
      </c>
      <c r="AR448">
        <v>121</v>
      </c>
      <c r="AS448">
        <v>26.438356160000001</v>
      </c>
    </row>
    <row r="449" spans="1:45" x14ac:dyDescent="0.2">
      <c r="A449" t="s">
        <v>882</v>
      </c>
      <c r="B449" t="s">
        <v>332</v>
      </c>
      <c r="C449" t="s">
        <v>169</v>
      </c>
      <c r="D449" t="s">
        <v>878</v>
      </c>
      <c r="E449">
        <v>29.628993999999999</v>
      </c>
      <c r="F449">
        <v>-81.218335999999994</v>
      </c>
      <c r="G449" t="s">
        <v>885</v>
      </c>
      <c r="H449" s="1">
        <v>43506</v>
      </c>
      <c r="I449">
        <v>6.2684931510000004</v>
      </c>
      <c r="J449" t="s">
        <v>68</v>
      </c>
      <c r="K449">
        <v>-0.13300000000000001</v>
      </c>
      <c r="L449" t="s">
        <v>68</v>
      </c>
      <c r="M449" t="s">
        <v>68</v>
      </c>
      <c r="N449">
        <v>3.61</v>
      </c>
      <c r="O449">
        <v>2.17</v>
      </c>
      <c r="P449">
        <v>1.018</v>
      </c>
      <c r="Q449">
        <v>0.51800000000000002</v>
      </c>
      <c r="R449">
        <v>-0.86399999999999999</v>
      </c>
      <c r="S449">
        <v>-0.17299999999999999</v>
      </c>
      <c r="T449">
        <v>1.3819999999999999</v>
      </c>
      <c r="U449">
        <v>0.41499999999999998</v>
      </c>
      <c r="V449">
        <v>7.4529666999999994E-2</v>
      </c>
      <c r="W449">
        <v>68</v>
      </c>
      <c r="X449">
        <v>0.3453</v>
      </c>
      <c r="Y449">
        <v>6.9699999999999998E-2</v>
      </c>
      <c r="Z449">
        <v>2.3029999999999999</v>
      </c>
      <c r="AA449">
        <v>12.515000000000001</v>
      </c>
      <c r="AB449">
        <v>0.495</v>
      </c>
      <c r="AC449">
        <v>25.38</v>
      </c>
      <c r="AD449">
        <v>1047</v>
      </c>
      <c r="AE449">
        <v>4.0325468390000001</v>
      </c>
      <c r="AF449" t="s">
        <v>68</v>
      </c>
      <c r="AG449" t="s">
        <v>883</v>
      </c>
      <c r="AH449">
        <v>0</v>
      </c>
      <c r="AI449">
        <v>0</v>
      </c>
      <c r="AJ449">
        <v>0</v>
      </c>
      <c r="AK449">
        <v>0</v>
      </c>
      <c r="AL449" t="s">
        <v>884</v>
      </c>
      <c r="AM449" t="s">
        <v>146</v>
      </c>
      <c r="AN449">
        <v>-0.32900000000000001</v>
      </c>
      <c r="AO449" t="s">
        <v>68</v>
      </c>
      <c r="AP449">
        <v>4.51</v>
      </c>
      <c r="AQ449">
        <v>0.36</v>
      </c>
      <c r="AR449">
        <v>155</v>
      </c>
      <c r="AS449">
        <v>13.708206690000001</v>
      </c>
    </row>
    <row r="450" spans="1:45" x14ac:dyDescent="0.2">
      <c r="A450" t="s">
        <v>886</v>
      </c>
      <c r="B450" t="s">
        <v>332</v>
      </c>
      <c r="C450" t="s">
        <v>169</v>
      </c>
      <c r="D450" t="s">
        <v>878</v>
      </c>
      <c r="E450">
        <v>29.628938999999999</v>
      </c>
      <c r="F450">
        <v>-81.218491999999998</v>
      </c>
      <c r="G450" t="s">
        <v>887</v>
      </c>
      <c r="H450" s="1">
        <v>43506</v>
      </c>
      <c r="I450">
        <v>6.2657534249999998</v>
      </c>
      <c r="J450">
        <v>5</v>
      </c>
      <c r="K450">
        <v>0.52800000000000002</v>
      </c>
      <c r="L450" t="s">
        <v>68</v>
      </c>
      <c r="M450">
        <f t="shared" si="6"/>
        <v>4.4719999999999995</v>
      </c>
      <c r="N450">
        <v>3.61</v>
      </c>
      <c r="O450">
        <v>2.17</v>
      </c>
      <c r="P450">
        <v>1.018</v>
      </c>
      <c r="Q450">
        <v>0.51800000000000002</v>
      </c>
      <c r="R450">
        <v>-0.86399999999999999</v>
      </c>
      <c r="S450">
        <v>-0.17299999999999999</v>
      </c>
      <c r="T450">
        <v>1.3819999999999999</v>
      </c>
      <c r="U450">
        <v>0.42895</v>
      </c>
      <c r="V450">
        <v>6.4435600999999995E-2</v>
      </c>
      <c r="W450">
        <v>68</v>
      </c>
      <c r="X450">
        <v>0.35925000000000001</v>
      </c>
      <c r="Y450">
        <v>6.9699999999999998E-2</v>
      </c>
      <c r="Z450">
        <v>1.6419999999999999</v>
      </c>
      <c r="AA450">
        <v>12.515000000000001</v>
      </c>
      <c r="AB450">
        <v>0.495</v>
      </c>
      <c r="AC450">
        <v>25.38</v>
      </c>
      <c r="AD450">
        <v>1047</v>
      </c>
      <c r="AE450">
        <v>4.0325468390000001</v>
      </c>
      <c r="AF450" t="s">
        <v>68</v>
      </c>
      <c r="AG450" t="s">
        <v>883</v>
      </c>
      <c r="AH450">
        <v>0</v>
      </c>
      <c r="AI450">
        <v>0</v>
      </c>
      <c r="AJ450">
        <v>0</v>
      </c>
      <c r="AK450">
        <v>0</v>
      </c>
      <c r="AL450" t="s">
        <v>884</v>
      </c>
      <c r="AM450" t="s">
        <v>146</v>
      </c>
      <c r="AN450">
        <v>-0.32900000000000001</v>
      </c>
      <c r="AO450" t="s">
        <v>68</v>
      </c>
      <c r="AP450">
        <v>5.41</v>
      </c>
      <c r="AQ450">
        <v>0.36</v>
      </c>
      <c r="AR450">
        <v>193</v>
      </c>
      <c r="AS450">
        <v>16.443769</v>
      </c>
    </row>
    <row r="451" spans="1:45" x14ac:dyDescent="0.2">
      <c r="A451" t="s">
        <v>888</v>
      </c>
      <c r="B451" t="s">
        <v>332</v>
      </c>
      <c r="C451" t="s">
        <v>169</v>
      </c>
      <c r="D451" t="s">
        <v>878</v>
      </c>
      <c r="E451">
        <v>29.628921999999999</v>
      </c>
      <c r="F451">
        <v>-81.218697000000006</v>
      </c>
      <c r="G451" t="s">
        <v>887</v>
      </c>
      <c r="H451" s="1">
        <v>43506</v>
      </c>
      <c r="I451">
        <v>6.2657534249999998</v>
      </c>
      <c r="J451">
        <v>8.1</v>
      </c>
      <c r="K451">
        <v>1.2150000000000001</v>
      </c>
      <c r="L451" t="s">
        <v>68</v>
      </c>
      <c r="M451">
        <f t="shared" ref="M451:M478" si="7">+J451-K451</f>
        <v>6.8849999999999998</v>
      </c>
      <c r="N451">
        <v>3.61</v>
      </c>
      <c r="O451">
        <v>2.17</v>
      </c>
      <c r="P451">
        <v>1.018</v>
      </c>
      <c r="Q451">
        <v>0.51800000000000002</v>
      </c>
      <c r="R451">
        <v>-0.86399999999999999</v>
      </c>
      <c r="S451">
        <v>-0.17299999999999999</v>
      </c>
      <c r="T451">
        <v>1.3819999999999999</v>
      </c>
      <c r="U451">
        <v>0.41959999999999997</v>
      </c>
      <c r="V451">
        <v>7.1201158000000001E-2</v>
      </c>
      <c r="W451">
        <v>68</v>
      </c>
      <c r="X451">
        <v>0.34989999999999999</v>
      </c>
      <c r="Y451">
        <v>6.9699999999999998E-2</v>
      </c>
      <c r="Z451">
        <v>0.95499999999999996</v>
      </c>
      <c r="AA451">
        <v>12.515000000000001</v>
      </c>
      <c r="AB451">
        <v>0.495</v>
      </c>
      <c r="AC451">
        <v>25.38</v>
      </c>
      <c r="AD451">
        <v>1047</v>
      </c>
      <c r="AE451">
        <v>4.0325468390000001</v>
      </c>
      <c r="AF451" t="s">
        <v>68</v>
      </c>
      <c r="AG451" t="s">
        <v>883</v>
      </c>
      <c r="AH451">
        <v>0</v>
      </c>
      <c r="AI451">
        <v>0</v>
      </c>
      <c r="AJ451">
        <v>0</v>
      </c>
      <c r="AK451">
        <v>0</v>
      </c>
      <c r="AL451" t="s">
        <v>884</v>
      </c>
      <c r="AM451" t="s">
        <v>146</v>
      </c>
      <c r="AN451">
        <v>-0.32900000000000001</v>
      </c>
      <c r="AO451" t="s">
        <v>68</v>
      </c>
      <c r="AP451">
        <v>5.43</v>
      </c>
      <c r="AQ451">
        <v>0.36</v>
      </c>
      <c r="AR451">
        <v>245</v>
      </c>
      <c r="AS451">
        <v>16.504559270000001</v>
      </c>
    </row>
    <row r="452" spans="1:45" x14ac:dyDescent="0.2">
      <c r="A452" t="s">
        <v>889</v>
      </c>
      <c r="B452" t="s">
        <v>332</v>
      </c>
      <c r="C452" t="s">
        <v>169</v>
      </c>
      <c r="D452" t="s">
        <v>878</v>
      </c>
      <c r="E452">
        <v>29.771456000000001</v>
      </c>
      <c r="F452">
        <v>-81.287921999999995</v>
      </c>
      <c r="G452" s="1">
        <v>41619</v>
      </c>
      <c r="H452" s="1">
        <v>43565</v>
      </c>
      <c r="I452">
        <v>5.8958904109999999</v>
      </c>
      <c r="J452" t="s">
        <v>68</v>
      </c>
      <c r="K452">
        <v>4.5270000000000001</v>
      </c>
      <c r="L452" t="s">
        <v>68</v>
      </c>
      <c r="M452" t="s">
        <v>68</v>
      </c>
      <c r="N452">
        <v>3.61</v>
      </c>
      <c r="O452">
        <v>2.17</v>
      </c>
      <c r="P452">
        <v>1.018</v>
      </c>
      <c r="Q452">
        <v>0.51800000000000002</v>
      </c>
      <c r="R452">
        <v>-0.86399999999999999</v>
      </c>
      <c r="S452">
        <v>-0.17299999999999999</v>
      </c>
      <c r="T452">
        <v>1.3819999999999999</v>
      </c>
      <c r="U452">
        <v>0.72470000000000001</v>
      </c>
      <c r="V452">
        <v>-0.149565847</v>
      </c>
      <c r="W452">
        <v>68</v>
      </c>
      <c r="X452">
        <v>0.65500000000000003</v>
      </c>
      <c r="Y452">
        <v>6.9699999999999998E-2</v>
      </c>
      <c r="Z452">
        <v>-2.3570000000000002</v>
      </c>
      <c r="AA452">
        <v>11.93</v>
      </c>
      <c r="AB452">
        <v>0.57750000000000001</v>
      </c>
      <c r="AC452">
        <v>25.38</v>
      </c>
      <c r="AD452">
        <v>1047</v>
      </c>
      <c r="AE452">
        <v>4.0325468390000001</v>
      </c>
      <c r="AF452" t="s">
        <v>68</v>
      </c>
      <c r="AG452" t="s">
        <v>341</v>
      </c>
      <c r="AH452">
        <v>1</v>
      </c>
      <c r="AI452">
        <v>0</v>
      </c>
      <c r="AJ452">
        <v>0</v>
      </c>
      <c r="AK452">
        <v>0</v>
      </c>
      <c r="AL452" t="s">
        <v>22</v>
      </c>
      <c r="AM452" t="s">
        <v>146</v>
      </c>
      <c r="AN452">
        <v>-0.51100000000000001</v>
      </c>
      <c r="AO452" t="s">
        <v>68</v>
      </c>
      <c r="AP452">
        <v>3.33</v>
      </c>
      <c r="AQ452">
        <v>0.14000000000000001</v>
      </c>
      <c r="AR452">
        <v>1000</v>
      </c>
      <c r="AS452">
        <v>6.5166340509999996</v>
      </c>
    </row>
    <row r="453" spans="1:45" x14ac:dyDescent="0.2">
      <c r="A453" t="s">
        <v>890</v>
      </c>
      <c r="B453" t="s">
        <v>332</v>
      </c>
      <c r="C453" t="s">
        <v>169</v>
      </c>
      <c r="D453" t="s">
        <v>878</v>
      </c>
      <c r="E453">
        <v>29.771547000000002</v>
      </c>
      <c r="F453">
        <v>-81.288036000000005</v>
      </c>
      <c r="G453" s="1">
        <v>41619</v>
      </c>
      <c r="H453" s="1">
        <v>43565</v>
      </c>
      <c r="I453">
        <v>5.8958904109999999</v>
      </c>
      <c r="J453" t="s">
        <v>68</v>
      </c>
      <c r="K453">
        <v>1.4610000000000001</v>
      </c>
      <c r="L453" t="s">
        <v>68</v>
      </c>
      <c r="M453" t="s">
        <v>68</v>
      </c>
      <c r="N453">
        <v>3.61</v>
      </c>
      <c r="O453">
        <v>2.17</v>
      </c>
      <c r="P453">
        <v>1.018</v>
      </c>
      <c r="Q453">
        <v>0.51800000000000002</v>
      </c>
      <c r="R453">
        <v>-0.86399999999999999</v>
      </c>
      <c r="S453">
        <v>-0.17299999999999999</v>
      </c>
      <c r="T453">
        <v>1.3819999999999999</v>
      </c>
      <c r="U453">
        <v>0.68400000000000005</v>
      </c>
      <c r="V453">
        <v>-0.12011577399999999</v>
      </c>
      <c r="W453">
        <v>68</v>
      </c>
      <c r="X453">
        <v>0.61429999999999996</v>
      </c>
      <c r="Y453">
        <v>6.9699999999999998E-2</v>
      </c>
      <c r="Z453">
        <v>0.70899999999999996</v>
      </c>
      <c r="AA453">
        <v>11.93</v>
      </c>
      <c r="AB453">
        <v>0.57750000000000001</v>
      </c>
      <c r="AC453">
        <v>25.38</v>
      </c>
      <c r="AD453">
        <v>1047</v>
      </c>
      <c r="AE453">
        <v>4.0325468390000001</v>
      </c>
      <c r="AF453" t="s">
        <v>68</v>
      </c>
      <c r="AG453" t="s">
        <v>341</v>
      </c>
      <c r="AH453">
        <v>1</v>
      </c>
      <c r="AI453">
        <v>0</v>
      </c>
      <c r="AJ453">
        <v>0</v>
      </c>
      <c r="AK453">
        <v>0</v>
      </c>
      <c r="AL453" t="s">
        <v>22</v>
      </c>
      <c r="AM453" t="s">
        <v>146</v>
      </c>
      <c r="AN453">
        <v>-0.51100000000000001</v>
      </c>
      <c r="AO453" t="s">
        <v>68</v>
      </c>
      <c r="AP453">
        <v>9.16</v>
      </c>
      <c r="AQ453">
        <v>0.14000000000000001</v>
      </c>
      <c r="AR453">
        <v>396</v>
      </c>
      <c r="AS453">
        <v>17.925636010000002</v>
      </c>
    </row>
    <row r="454" spans="1:45" x14ac:dyDescent="0.2">
      <c r="A454" t="s">
        <v>891</v>
      </c>
      <c r="B454" t="s">
        <v>332</v>
      </c>
      <c r="C454" t="s">
        <v>169</v>
      </c>
      <c r="D454" t="s">
        <v>878</v>
      </c>
      <c r="E454">
        <v>29.771331</v>
      </c>
      <c r="F454">
        <v>-81.287818999999999</v>
      </c>
      <c r="G454" s="1">
        <v>41619</v>
      </c>
      <c r="H454" s="1">
        <v>43565</v>
      </c>
      <c r="I454">
        <v>5.8958904109999999</v>
      </c>
      <c r="J454" t="s">
        <v>68</v>
      </c>
      <c r="K454">
        <v>10.388999999999999</v>
      </c>
      <c r="L454" t="s">
        <v>68</v>
      </c>
      <c r="M454" t="s">
        <v>68</v>
      </c>
      <c r="N454">
        <v>3.61</v>
      </c>
      <c r="O454">
        <v>2.17</v>
      </c>
      <c r="P454">
        <v>1.018</v>
      </c>
      <c r="Q454">
        <v>0.51800000000000002</v>
      </c>
      <c r="R454">
        <v>-0.86399999999999999</v>
      </c>
      <c r="S454">
        <v>-0.17299999999999999</v>
      </c>
      <c r="T454">
        <v>1.3819999999999999</v>
      </c>
      <c r="U454">
        <v>0.73023333000000001</v>
      </c>
      <c r="V454">
        <v>-0.153569703</v>
      </c>
      <c r="W454">
        <v>68</v>
      </c>
      <c r="X454">
        <v>0.66053333000000003</v>
      </c>
      <c r="Y454">
        <v>6.9699999999999998E-2</v>
      </c>
      <c r="Z454">
        <v>-8.2189999999999994</v>
      </c>
      <c r="AA454">
        <v>11.93</v>
      </c>
      <c r="AB454">
        <v>0.57750000000000001</v>
      </c>
      <c r="AC454">
        <v>25.38</v>
      </c>
      <c r="AD454">
        <v>1047</v>
      </c>
      <c r="AE454">
        <v>4.0325468390000001</v>
      </c>
      <c r="AF454" t="s">
        <v>68</v>
      </c>
      <c r="AG454" t="s">
        <v>341</v>
      </c>
      <c r="AH454">
        <v>1</v>
      </c>
      <c r="AI454">
        <v>0</v>
      </c>
      <c r="AJ454">
        <v>0</v>
      </c>
      <c r="AK454">
        <v>0</v>
      </c>
      <c r="AL454" t="s">
        <v>22</v>
      </c>
      <c r="AM454" t="s">
        <v>146</v>
      </c>
      <c r="AN454">
        <v>-0.51100000000000001</v>
      </c>
      <c r="AO454" t="s">
        <v>68</v>
      </c>
      <c r="AP454">
        <v>8.06</v>
      </c>
      <c r="AQ454">
        <v>0.14000000000000001</v>
      </c>
      <c r="AR454">
        <v>1000</v>
      </c>
      <c r="AS454">
        <v>15.772994130000001</v>
      </c>
    </row>
    <row r="455" spans="1:45" x14ac:dyDescent="0.2">
      <c r="A455" t="s">
        <v>892</v>
      </c>
      <c r="B455" t="s">
        <v>332</v>
      </c>
      <c r="C455" t="s">
        <v>169</v>
      </c>
      <c r="D455" t="s">
        <v>878</v>
      </c>
      <c r="E455">
        <v>29.821469</v>
      </c>
      <c r="F455">
        <v>-81.288842000000002</v>
      </c>
      <c r="G455" t="s">
        <v>893</v>
      </c>
      <c r="H455" s="1">
        <v>43687</v>
      </c>
      <c r="I455">
        <v>6.2767123290000004</v>
      </c>
      <c r="J455" t="s">
        <v>68</v>
      </c>
      <c r="K455">
        <v>14.18</v>
      </c>
      <c r="L455" t="s">
        <v>68</v>
      </c>
      <c r="M455" t="s">
        <v>68</v>
      </c>
      <c r="N455">
        <v>3.61</v>
      </c>
      <c r="O455">
        <v>2.17</v>
      </c>
      <c r="P455">
        <v>1.018</v>
      </c>
      <c r="Q455">
        <v>0.51800000000000002</v>
      </c>
      <c r="R455">
        <v>-0.86399999999999999</v>
      </c>
      <c r="S455">
        <v>-0.17299999999999999</v>
      </c>
      <c r="T455">
        <v>1.3819999999999999</v>
      </c>
      <c r="U455">
        <v>0.57004999999999995</v>
      </c>
      <c r="V455">
        <v>-3.7662807999999999E-2</v>
      </c>
      <c r="W455">
        <v>68</v>
      </c>
      <c r="X455">
        <v>0.50034999999999996</v>
      </c>
      <c r="Y455">
        <v>6.9699999999999998E-2</v>
      </c>
      <c r="Z455">
        <v>-12.01</v>
      </c>
      <c r="AA455">
        <v>11.57</v>
      </c>
      <c r="AB455">
        <v>0.59250000000000003</v>
      </c>
      <c r="AC455">
        <v>25.38</v>
      </c>
      <c r="AD455">
        <v>1047</v>
      </c>
      <c r="AE455">
        <v>4.0325468390000001</v>
      </c>
      <c r="AF455" t="s">
        <v>68</v>
      </c>
      <c r="AG455" t="s">
        <v>341</v>
      </c>
      <c r="AH455">
        <v>1</v>
      </c>
      <c r="AI455">
        <v>0</v>
      </c>
      <c r="AJ455">
        <v>0</v>
      </c>
      <c r="AK455">
        <v>0</v>
      </c>
      <c r="AL455" t="s">
        <v>22</v>
      </c>
      <c r="AM455" t="s">
        <v>146</v>
      </c>
      <c r="AN455">
        <v>-0.40200000000000002</v>
      </c>
      <c r="AO455" t="s">
        <v>68</v>
      </c>
      <c r="AP455">
        <v>3.18</v>
      </c>
      <c r="AQ455">
        <v>0.37</v>
      </c>
      <c r="AR455">
        <v>1000</v>
      </c>
      <c r="AS455">
        <v>7.9104477610000004</v>
      </c>
    </row>
    <row r="456" spans="1:45" x14ac:dyDescent="0.2">
      <c r="A456" t="s">
        <v>894</v>
      </c>
      <c r="B456" t="s">
        <v>332</v>
      </c>
      <c r="C456" t="s">
        <v>169</v>
      </c>
      <c r="D456" t="s">
        <v>878</v>
      </c>
      <c r="E456">
        <v>29.821486</v>
      </c>
      <c r="F456">
        <v>-81.289028000000002</v>
      </c>
      <c r="G456" t="s">
        <v>893</v>
      </c>
      <c r="H456" s="1">
        <v>43687</v>
      </c>
      <c r="I456">
        <v>6.2767123290000004</v>
      </c>
      <c r="J456" t="s">
        <v>68</v>
      </c>
      <c r="K456">
        <v>1.1160000000000001</v>
      </c>
      <c r="L456" t="s">
        <v>68</v>
      </c>
      <c r="M456" t="s">
        <v>68</v>
      </c>
      <c r="N456">
        <v>3.61</v>
      </c>
      <c r="O456">
        <v>2.17</v>
      </c>
      <c r="P456">
        <v>1.018</v>
      </c>
      <c r="Q456">
        <v>0.51800000000000002</v>
      </c>
      <c r="R456">
        <v>-0.86399999999999999</v>
      </c>
      <c r="S456">
        <v>-0.17299999999999999</v>
      </c>
      <c r="T456">
        <v>1.3819999999999999</v>
      </c>
      <c r="U456">
        <v>0.52600000000000002</v>
      </c>
      <c r="V456">
        <v>-5.7887119999999997E-3</v>
      </c>
      <c r="W456">
        <v>68</v>
      </c>
      <c r="X456">
        <v>0.45629999999999998</v>
      </c>
      <c r="Y456">
        <v>6.9699999999999998E-2</v>
      </c>
      <c r="Z456">
        <v>1.054</v>
      </c>
      <c r="AA456">
        <v>11.57</v>
      </c>
      <c r="AB456">
        <v>0.59250000000000003</v>
      </c>
      <c r="AC456">
        <v>25.38</v>
      </c>
      <c r="AD456">
        <v>1047</v>
      </c>
      <c r="AE456">
        <v>4.0325468390000001</v>
      </c>
      <c r="AF456" t="s">
        <v>68</v>
      </c>
      <c r="AG456" t="s">
        <v>341</v>
      </c>
      <c r="AH456">
        <v>1</v>
      </c>
      <c r="AI456">
        <v>0</v>
      </c>
      <c r="AJ456">
        <v>0</v>
      </c>
      <c r="AK456">
        <v>0</v>
      </c>
      <c r="AL456" t="s">
        <v>22</v>
      </c>
      <c r="AM456" t="s">
        <v>146</v>
      </c>
      <c r="AN456">
        <v>-0.621</v>
      </c>
      <c r="AO456" t="s">
        <v>68</v>
      </c>
      <c r="AP456">
        <v>3.67</v>
      </c>
      <c r="AQ456">
        <v>0.37</v>
      </c>
      <c r="AR456">
        <v>278</v>
      </c>
      <c r="AS456">
        <v>5.9098228659999998</v>
      </c>
    </row>
    <row r="457" spans="1:45" x14ac:dyDescent="0.2">
      <c r="A457" t="s">
        <v>895</v>
      </c>
      <c r="B457" t="s">
        <v>332</v>
      </c>
      <c r="C457" t="s">
        <v>169</v>
      </c>
      <c r="D457" t="s">
        <v>878</v>
      </c>
      <c r="E457">
        <v>29.821902999999999</v>
      </c>
      <c r="F457">
        <v>-81.289007999999995</v>
      </c>
      <c r="G457" s="1">
        <v>41406</v>
      </c>
      <c r="H457" s="1">
        <v>43687</v>
      </c>
      <c r="I457">
        <v>5.8438356159999998</v>
      </c>
      <c r="J457" t="s">
        <v>68</v>
      </c>
      <c r="K457">
        <v>10.055</v>
      </c>
      <c r="L457" t="s">
        <v>68</v>
      </c>
      <c r="M457" t="s">
        <v>68</v>
      </c>
      <c r="N457">
        <v>3.61</v>
      </c>
      <c r="O457">
        <v>2.17</v>
      </c>
      <c r="P457">
        <v>1.018</v>
      </c>
      <c r="Q457">
        <v>0.51800000000000002</v>
      </c>
      <c r="R457">
        <v>-0.86399999999999999</v>
      </c>
      <c r="S457">
        <v>-0.17299999999999999</v>
      </c>
      <c r="T457">
        <v>1.3819999999999999</v>
      </c>
      <c r="U457">
        <v>0.65452500000000002</v>
      </c>
      <c r="V457">
        <v>-9.8787987999999993E-2</v>
      </c>
      <c r="W457">
        <v>68</v>
      </c>
      <c r="X457">
        <v>0.58482500000000004</v>
      </c>
      <c r="Y457">
        <v>6.9699999999999998E-2</v>
      </c>
      <c r="Z457">
        <v>-7.8849999999999998</v>
      </c>
      <c r="AA457">
        <v>11.57</v>
      </c>
      <c r="AB457">
        <v>0.59250000000000003</v>
      </c>
      <c r="AC457">
        <v>25.38</v>
      </c>
      <c r="AD457">
        <v>1047</v>
      </c>
      <c r="AE457">
        <v>4.0325468390000001</v>
      </c>
      <c r="AF457" t="s">
        <v>68</v>
      </c>
      <c r="AG457" t="s">
        <v>341</v>
      </c>
      <c r="AH457">
        <v>1</v>
      </c>
      <c r="AI457">
        <v>0</v>
      </c>
      <c r="AJ457">
        <v>0</v>
      </c>
      <c r="AK457">
        <v>0</v>
      </c>
      <c r="AL457" t="s">
        <v>22</v>
      </c>
      <c r="AM457" t="s">
        <v>146</v>
      </c>
      <c r="AN457">
        <v>-0.219</v>
      </c>
      <c r="AO457" t="s">
        <v>68</v>
      </c>
      <c r="AP457">
        <v>6.35</v>
      </c>
      <c r="AQ457">
        <v>0.37</v>
      </c>
      <c r="AR457">
        <v>1000</v>
      </c>
      <c r="AS457">
        <v>28.99543379</v>
      </c>
    </row>
    <row r="458" spans="1:45" x14ac:dyDescent="0.2">
      <c r="A458" t="s">
        <v>896</v>
      </c>
      <c r="B458" t="s">
        <v>332</v>
      </c>
      <c r="C458" t="s">
        <v>169</v>
      </c>
      <c r="D458" t="s">
        <v>878</v>
      </c>
      <c r="E458">
        <v>30.085543999999999</v>
      </c>
      <c r="F458">
        <v>-81.366624999999999</v>
      </c>
      <c r="G458" t="s">
        <v>897</v>
      </c>
      <c r="H458" s="1">
        <v>43534</v>
      </c>
      <c r="I458">
        <v>5.8082191779999999</v>
      </c>
      <c r="J458" t="s">
        <v>68</v>
      </c>
      <c r="K458">
        <v>2.9489999999999998</v>
      </c>
      <c r="L458" t="s">
        <v>68</v>
      </c>
      <c r="M458" t="s">
        <v>68</v>
      </c>
      <c r="N458">
        <v>3.61</v>
      </c>
      <c r="O458">
        <v>2.17</v>
      </c>
      <c r="P458">
        <v>1.018</v>
      </c>
      <c r="Q458">
        <v>0.51800000000000002</v>
      </c>
      <c r="R458">
        <v>-0.86399999999999999</v>
      </c>
      <c r="S458">
        <v>-0.17299999999999999</v>
      </c>
      <c r="T458">
        <v>1.3819999999999999</v>
      </c>
      <c r="U458">
        <v>0.48</v>
      </c>
      <c r="V458">
        <v>2.7496382E-2</v>
      </c>
      <c r="W458">
        <v>68</v>
      </c>
      <c r="X458">
        <v>0.4103</v>
      </c>
      <c r="Y458">
        <v>6.9699999999999998E-2</v>
      </c>
      <c r="Z458">
        <v>-0.77900000000000003</v>
      </c>
      <c r="AA458">
        <v>26.732500000000002</v>
      </c>
      <c r="AB458">
        <v>0.3125</v>
      </c>
      <c r="AC458">
        <v>25.38</v>
      </c>
      <c r="AD458">
        <v>1047</v>
      </c>
      <c r="AE458">
        <v>4.0325468390000001</v>
      </c>
      <c r="AF458" t="s">
        <v>68</v>
      </c>
      <c r="AG458" t="s">
        <v>341</v>
      </c>
      <c r="AH458">
        <v>1</v>
      </c>
      <c r="AI458">
        <v>0</v>
      </c>
      <c r="AJ458">
        <v>0</v>
      </c>
      <c r="AK458">
        <v>0</v>
      </c>
      <c r="AL458" t="s">
        <v>22</v>
      </c>
      <c r="AM458" t="s">
        <v>146</v>
      </c>
      <c r="AN458">
        <v>-0.183</v>
      </c>
      <c r="AO458" t="s">
        <v>68</v>
      </c>
      <c r="AP458">
        <v>6.16</v>
      </c>
      <c r="AQ458">
        <v>0.39</v>
      </c>
      <c r="AR458">
        <v>978</v>
      </c>
      <c r="AS458">
        <v>33.661202189999997</v>
      </c>
    </row>
    <row r="459" spans="1:45" x14ac:dyDescent="0.2">
      <c r="A459" t="s">
        <v>898</v>
      </c>
      <c r="B459" t="s">
        <v>332</v>
      </c>
      <c r="C459" t="s">
        <v>169</v>
      </c>
      <c r="D459" t="s">
        <v>878</v>
      </c>
      <c r="E459">
        <v>30.085408000000001</v>
      </c>
      <c r="F459">
        <v>-81.366541999999995</v>
      </c>
      <c r="G459" t="s">
        <v>897</v>
      </c>
      <c r="H459" s="1">
        <v>43534</v>
      </c>
      <c r="I459">
        <v>5.8082191779999999</v>
      </c>
      <c r="J459" t="s">
        <v>68</v>
      </c>
      <c r="K459">
        <v>-0.96499999999999997</v>
      </c>
      <c r="L459" t="s">
        <v>68</v>
      </c>
      <c r="M459" t="s">
        <v>68</v>
      </c>
      <c r="N459">
        <v>3.61</v>
      </c>
      <c r="O459">
        <v>2.17</v>
      </c>
      <c r="P459">
        <v>1.018</v>
      </c>
      <c r="Q459">
        <v>0.51800000000000002</v>
      </c>
      <c r="R459">
        <v>-0.86399999999999999</v>
      </c>
      <c r="S459">
        <v>-0.17299999999999999</v>
      </c>
      <c r="T459">
        <v>1.3819999999999999</v>
      </c>
      <c r="U459">
        <v>0.52949999999999997</v>
      </c>
      <c r="V459">
        <v>-8.321274E-3</v>
      </c>
      <c r="W459">
        <v>68</v>
      </c>
      <c r="X459">
        <v>0.45979999999999999</v>
      </c>
      <c r="Y459">
        <v>6.9699999999999998E-2</v>
      </c>
      <c r="Z459">
        <v>3.1349999999999998</v>
      </c>
      <c r="AA459">
        <v>26.732500000000002</v>
      </c>
      <c r="AB459">
        <v>0.3125</v>
      </c>
      <c r="AC459">
        <v>25.38</v>
      </c>
      <c r="AD459">
        <v>1047</v>
      </c>
      <c r="AE459">
        <v>4.0325468390000001</v>
      </c>
      <c r="AF459" t="s">
        <v>68</v>
      </c>
      <c r="AG459" t="s">
        <v>341</v>
      </c>
      <c r="AH459">
        <v>1</v>
      </c>
      <c r="AI459">
        <v>0</v>
      </c>
      <c r="AJ459">
        <v>0</v>
      </c>
      <c r="AK459">
        <v>0</v>
      </c>
      <c r="AL459" t="s">
        <v>22</v>
      </c>
      <c r="AM459" t="s">
        <v>146</v>
      </c>
      <c r="AN459">
        <v>-7.4999999999999997E-2</v>
      </c>
      <c r="AO459" t="s">
        <v>68</v>
      </c>
      <c r="AP459">
        <v>6.7</v>
      </c>
      <c r="AQ459">
        <v>0.39</v>
      </c>
      <c r="AR459">
        <v>152</v>
      </c>
      <c r="AS459">
        <v>89.333333330000002</v>
      </c>
    </row>
    <row r="460" spans="1:45" x14ac:dyDescent="0.2">
      <c r="A460" t="s">
        <v>899</v>
      </c>
      <c r="B460" t="s">
        <v>332</v>
      </c>
      <c r="C460" t="s">
        <v>169</v>
      </c>
      <c r="D460" t="s">
        <v>878</v>
      </c>
      <c r="E460">
        <v>30.085597</v>
      </c>
      <c r="F460">
        <v>-81.366989000000004</v>
      </c>
      <c r="G460" s="1">
        <v>41466</v>
      </c>
      <c r="H460" s="1">
        <v>43534</v>
      </c>
      <c r="I460">
        <v>5.9068493149999997</v>
      </c>
      <c r="J460">
        <v>4.55</v>
      </c>
      <c r="K460">
        <v>4.7990000000000004</v>
      </c>
      <c r="L460" t="s">
        <v>68</v>
      </c>
      <c r="M460">
        <f t="shared" si="7"/>
        <v>-0.24900000000000055</v>
      </c>
      <c r="N460">
        <v>3.61</v>
      </c>
      <c r="O460">
        <v>2.17</v>
      </c>
      <c r="P460">
        <v>1.018</v>
      </c>
      <c r="Q460">
        <v>0.51800000000000002</v>
      </c>
      <c r="R460">
        <v>-0.86399999999999999</v>
      </c>
      <c r="S460">
        <v>-0.17299999999999999</v>
      </c>
      <c r="T460">
        <v>1.3819999999999999</v>
      </c>
      <c r="U460">
        <v>0.6915</v>
      </c>
      <c r="V460">
        <v>-0.12554269200000001</v>
      </c>
      <c r="W460">
        <v>68</v>
      </c>
      <c r="X460">
        <v>0.62180000000000002</v>
      </c>
      <c r="Y460">
        <v>6.9699999999999998E-2</v>
      </c>
      <c r="Z460">
        <v>-2.629</v>
      </c>
      <c r="AA460">
        <v>26.732500000000002</v>
      </c>
      <c r="AB460">
        <v>0.3125</v>
      </c>
      <c r="AC460">
        <v>25.38</v>
      </c>
      <c r="AD460">
        <v>1047</v>
      </c>
      <c r="AE460">
        <v>4.0325468390000001</v>
      </c>
      <c r="AF460" t="s">
        <v>68</v>
      </c>
      <c r="AG460" t="s">
        <v>341</v>
      </c>
      <c r="AH460">
        <v>1</v>
      </c>
      <c r="AI460">
        <v>0</v>
      </c>
      <c r="AJ460">
        <v>0</v>
      </c>
      <c r="AK460">
        <v>0</v>
      </c>
      <c r="AL460" t="s">
        <v>22</v>
      </c>
      <c r="AM460" t="s">
        <v>146</v>
      </c>
      <c r="AN460">
        <v>-0.11</v>
      </c>
      <c r="AO460" t="s">
        <v>68</v>
      </c>
      <c r="AP460">
        <v>5.23</v>
      </c>
      <c r="AQ460">
        <v>0.33</v>
      </c>
      <c r="AR460">
        <v>1000</v>
      </c>
      <c r="AS460">
        <v>47.545454550000002</v>
      </c>
    </row>
    <row r="461" spans="1:45" x14ac:dyDescent="0.2">
      <c r="A461" t="s">
        <v>900</v>
      </c>
      <c r="B461" t="s">
        <v>332</v>
      </c>
      <c r="C461" t="s">
        <v>169</v>
      </c>
      <c r="D461" t="s">
        <v>878</v>
      </c>
      <c r="E461">
        <v>29.660488999999998</v>
      </c>
      <c r="F461">
        <v>-81.245158000000004</v>
      </c>
      <c r="G461" s="1">
        <v>41466</v>
      </c>
      <c r="H461" s="1">
        <v>43475</v>
      </c>
      <c r="I461">
        <v>5.9013698630000002</v>
      </c>
      <c r="J461">
        <v>3.6</v>
      </c>
      <c r="K461">
        <v>1.071</v>
      </c>
      <c r="L461" t="s">
        <v>68</v>
      </c>
      <c r="M461">
        <f t="shared" si="7"/>
        <v>2.5289999999999999</v>
      </c>
      <c r="N461">
        <v>3.61</v>
      </c>
      <c r="O461">
        <v>2.17</v>
      </c>
      <c r="P461">
        <v>1.018</v>
      </c>
      <c r="Q461">
        <v>0.51800000000000002</v>
      </c>
      <c r="R461">
        <v>-0.86399999999999999</v>
      </c>
      <c r="S461">
        <v>-0.17299999999999999</v>
      </c>
      <c r="T461">
        <v>1.3819999999999999</v>
      </c>
      <c r="U461">
        <v>0.42</v>
      </c>
      <c r="V461">
        <v>7.0911721999999996E-2</v>
      </c>
      <c r="W461">
        <v>68</v>
      </c>
      <c r="X461">
        <v>0.3503</v>
      </c>
      <c r="Y461">
        <v>6.9699999999999998E-2</v>
      </c>
      <c r="Z461">
        <v>1.099</v>
      </c>
      <c r="AA461">
        <v>20.04</v>
      </c>
      <c r="AB461">
        <v>0.41</v>
      </c>
      <c r="AC461">
        <v>25.38</v>
      </c>
      <c r="AD461">
        <v>1047</v>
      </c>
      <c r="AE461">
        <v>4.0325468390000001</v>
      </c>
      <c r="AF461" t="s">
        <v>68</v>
      </c>
      <c r="AG461" t="s">
        <v>341</v>
      </c>
      <c r="AH461">
        <v>1</v>
      </c>
      <c r="AI461">
        <v>0</v>
      </c>
      <c r="AJ461">
        <v>0</v>
      </c>
      <c r="AK461">
        <v>0</v>
      </c>
      <c r="AL461" t="s">
        <v>22</v>
      </c>
      <c r="AM461" t="s">
        <v>146</v>
      </c>
      <c r="AN461">
        <v>-0.438</v>
      </c>
      <c r="AO461" t="s">
        <v>68</v>
      </c>
      <c r="AP461">
        <v>3.48</v>
      </c>
      <c r="AQ461">
        <v>0.49</v>
      </c>
      <c r="AR461">
        <v>231</v>
      </c>
      <c r="AS461">
        <v>7.9452054790000002</v>
      </c>
    </row>
    <row r="462" spans="1:45" x14ac:dyDescent="0.2">
      <c r="A462" t="s">
        <v>901</v>
      </c>
      <c r="B462" t="s">
        <v>332</v>
      </c>
      <c r="C462" t="s">
        <v>169</v>
      </c>
      <c r="D462" t="s">
        <v>878</v>
      </c>
      <c r="E462">
        <v>29.660599999999999</v>
      </c>
      <c r="F462">
        <v>-81.245013999999998</v>
      </c>
      <c r="G462" s="1">
        <v>41466</v>
      </c>
      <c r="H462" t="s">
        <v>404</v>
      </c>
      <c r="I462">
        <v>5.956164384</v>
      </c>
      <c r="J462">
        <v>5.5</v>
      </c>
      <c r="K462">
        <v>-1.159</v>
      </c>
      <c r="L462" t="s">
        <v>68</v>
      </c>
      <c r="M462">
        <f t="shared" si="7"/>
        <v>6.6589999999999998</v>
      </c>
      <c r="N462">
        <v>3.61</v>
      </c>
      <c r="O462">
        <v>2.17</v>
      </c>
      <c r="P462">
        <v>1.018</v>
      </c>
      <c r="Q462">
        <v>0.51800000000000002</v>
      </c>
      <c r="R462">
        <v>-0.86399999999999999</v>
      </c>
      <c r="S462">
        <v>-0.17299999999999999</v>
      </c>
      <c r="T462">
        <v>1.3819999999999999</v>
      </c>
      <c r="U462">
        <v>0.41099999999999998</v>
      </c>
      <c r="V462">
        <v>7.7424022999999995E-2</v>
      </c>
      <c r="W462">
        <v>68</v>
      </c>
      <c r="X462">
        <v>0.34129999999999999</v>
      </c>
      <c r="Y462">
        <v>6.9699999999999998E-2</v>
      </c>
      <c r="Z462">
        <v>3.3290000000000002</v>
      </c>
      <c r="AA462">
        <v>20.04</v>
      </c>
      <c r="AB462">
        <v>0.41</v>
      </c>
      <c r="AC462">
        <v>25.38</v>
      </c>
      <c r="AD462">
        <v>1047</v>
      </c>
      <c r="AE462">
        <v>4.0325468390000001</v>
      </c>
      <c r="AF462" t="s">
        <v>68</v>
      </c>
      <c r="AG462" t="s">
        <v>341</v>
      </c>
      <c r="AH462">
        <v>1</v>
      </c>
      <c r="AI462">
        <v>0</v>
      </c>
      <c r="AJ462">
        <v>0</v>
      </c>
      <c r="AK462">
        <v>0</v>
      </c>
      <c r="AL462" t="s">
        <v>22</v>
      </c>
      <c r="AM462" t="s">
        <v>146</v>
      </c>
      <c r="AN462">
        <v>-0.32900000000000001</v>
      </c>
      <c r="AO462" t="s">
        <v>68</v>
      </c>
      <c r="AP462">
        <v>3.88</v>
      </c>
      <c r="AQ462">
        <v>0.49</v>
      </c>
      <c r="AR462">
        <v>121</v>
      </c>
      <c r="AS462">
        <v>11.79331307</v>
      </c>
    </row>
    <row r="463" spans="1:45" x14ac:dyDescent="0.2">
      <c r="A463" t="s">
        <v>902</v>
      </c>
      <c r="B463" t="s">
        <v>332</v>
      </c>
      <c r="C463" t="s">
        <v>169</v>
      </c>
      <c r="D463" t="s">
        <v>878</v>
      </c>
      <c r="E463">
        <v>29.660696999999999</v>
      </c>
      <c r="F463">
        <v>-81.244881000000007</v>
      </c>
      <c r="G463" s="1">
        <v>41466</v>
      </c>
      <c r="H463" s="1">
        <v>43475</v>
      </c>
      <c r="I463">
        <v>5.9013698630000002</v>
      </c>
      <c r="J463">
        <v>4.5999999999999996</v>
      </c>
      <c r="K463">
        <v>-2.5390000000000001</v>
      </c>
      <c r="L463" t="s">
        <v>68</v>
      </c>
      <c r="M463">
        <f t="shared" si="7"/>
        <v>7.1389999999999993</v>
      </c>
      <c r="N463">
        <v>3.61</v>
      </c>
      <c r="O463">
        <v>2.17</v>
      </c>
      <c r="P463">
        <v>1.018</v>
      </c>
      <c r="Q463">
        <v>0.51800000000000002</v>
      </c>
      <c r="R463">
        <v>-0.86399999999999999</v>
      </c>
      <c r="S463">
        <v>-0.17299999999999999</v>
      </c>
      <c r="T463">
        <v>1.3819999999999999</v>
      </c>
      <c r="U463">
        <v>0.40200000000000002</v>
      </c>
      <c r="V463">
        <v>8.3936324000000007E-2</v>
      </c>
      <c r="W463">
        <v>68</v>
      </c>
      <c r="X463">
        <v>0.33229999999999998</v>
      </c>
      <c r="Y463">
        <v>6.9699999999999998E-2</v>
      </c>
      <c r="Z463">
        <v>4.7089999999999996</v>
      </c>
      <c r="AA463">
        <v>20.04</v>
      </c>
      <c r="AB463">
        <v>0.41</v>
      </c>
      <c r="AC463">
        <v>25.38</v>
      </c>
      <c r="AD463">
        <v>1047</v>
      </c>
      <c r="AE463">
        <v>4.0325468390000001</v>
      </c>
      <c r="AF463" t="s">
        <v>68</v>
      </c>
      <c r="AG463" t="s">
        <v>341</v>
      </c>
      <c r="AH463">
        <v>1</v>
      </c>
      <c r="AI463">
        <v>0</v>
      </c>
      <c r="AJ463">
        <v>0</v>
      </c>
      <c r="AK463">
        <v>0</v>
      </c>
      <c r="AL463" t="s">
        <v>22</v>
      </c>
      <c r="AM463" t="s">
        <v>146</v>
      </c>
      <c r="AN463">
        <v>-0.32900000000000001</v>
      </c>
      <c r="AO463" t="s">
        <v>68</v>
      </c>
      <c r="AP463">
        <v>3.23</v>
      </c>
      <c r="AQ463">
        <v>0.49</v>
      </c>
      <c r="AR463">
        <v>92</v>
      </c>
      <c r="AS463">
        <v>9.8176291790000008</v>
      </c>
    </row>
    <row r="464" spans="1:45" x14ac:dyDescent="0.2">
      <c r="A464" t="s">
        <v>903</v>
      </c>
      <c r="B464" t="s">
        <v>168</v>
      </c>
      <c r="C464" t="s">
        <v>169</v>
      </c>
      <c r="D464" t="s">
        <v>904</v>
      </c>
      <c r="E464">
        <v>28.305060000000001</v>
      </c>
      <c r="F464">
        <v>-96.802269999999993</v>
      </c>
      <c r="G464" t="s">
        <v>906</v>
      </c>
      <c r="H464" s="1">
        <v>43501</v>
      </c>
      <c r="I464">
        <v>5.6986301370000003</v>
      </c>
      <c r="J464">
        <v>5.48</v>
      </c>
      <c r="K464">
        <v>4.8230000000000004</v>
      </c>
      <c r="L464" t="s">
        <v>68</v>
      </c>
      <c r="M464">
        <f t="shared" si="7"/>
        <v>0.65700000000000003</v>
      </c>
      <c r="N464">
        <v>7.14</v>
      </c>
      <c r="O464">
        <v>33.81</v>
      </c>
      <c r="P464">
        <v>0.68</v>
      </c>
      <c r="Q464">
        <v>1.29</v>
      </c>
      <c r="R464">
        <v>0.94</v>
      </c>
      <c r="S464">
        <v>1.1100000000000001</v>
      </c>
      <c r="T464">
        <v>0.35</v>
      </c>
      <c r="U464" t="s">
        <v>68</v>
      </c>
      <c r="V464" t="s">
        <v>68</v>
      </c>
      <c r="W464">
        <v>129</v>
      </c>
      <c r="X464" t="s">
        <v>68</v>
      </c>
      <c r="Y464">
        <v>1.25</v>
      </c>
      <c r="Z464">
        <v>28.986999999999998</v>
      </c>
      <c r="AA464" t="s">
        <v>68</v>
      </c>
      <c r="AB464" t="s">
        <v>68</v>
      </c>
      <c r="AC464">
        <v>25.97</v>
      </c>
      <c r="AD464">
        <v>804</v>
      </c>
      <c r="AE464">
        <v>15.09559655</v>
      </c>
      <c r="AF464" t="s">
        <v>68</v>
      </c>
      <c r="AG464" t="s">
        <v>905</v>
      </c>
      <c r="AH464">
        <v>0</v>
      </c>
      <c r="AI464">
        <v>1</v>
      </c>
      <c r="AJ464">
        <v>0</v>
      </c>
      <c r="AK464">
        <v>0</v>
      </c>
      <c r="AL464" t="s">
        <v>54</v>
      </c>
      <c r="AM464" t="s">
        <v>146</v>
      </c>
      <c r="AN464">
        <v>-0.11</v>
      </c>
      <c r="AO464" t="s">
        <v>68</v>
      </c>
      <c r="AP464">
        <v>5.0599999999999996</v>
      </c>
      <c r="AQ464">
        <v>0.34</v>
      </c>
      <c r="AR464" t="s">
        <v>68</v>
      </c>
      <c r="AS464">
        <v>46</v>
      </c>
    </row>
    <row r="465" spans="1:45" x14ac:dyDescent="0.2">
      <c r="A465" t="s">
        <v>907</v>
      </c>
      <c r="B465" t="s">
        <v>168</v>
      </c>
      <c r="C465" t="s">
        <v>169</v>
      </c>
      <c r="D465" t="s">
        <v>904</v>
      </c>
      <c r="E465">
        <v>28.304670000000002</v>
      </c>
      <c r="F465">
        <v>-96.802580000000006</v>
      </c>
      <c r="G465" t="s">
        <v>906</v>
      </c>
      <c r="H465" s="1">
        <v>43501</v>
      </c>
      <c r="I465">
        <v>5.6986301370000003</v>
      </c>
      <c r="J465">
        <v>6.57</v>
      </c>
      <c r="K465">
        <v>1.9019999999999999</v>
      </c>
      <c r="L465" t="s">
        <v>68</v>
      </c>
      <c r="M465">
        <f t="shared" si="7"/>
        <v>4.6680000000000001</v>
      </c>
      <c r="N465">
        <v>7.14</v>
      </c>
      <c r="O465">
        <v>33.81</v>
      </c>
      <c r="P465">
        <v>0.68</v>
      </c>
      <c r="Q465">
        <v>1.29</v>
      </c>
      <c r="R465">
        <v>0.94</v>
      </c>
      <c r="S465">
        <v>1.1100000000000001</v>
      </c>
      <c r="T465">
        <v>0.35</v>
      </c>
      <c r="U465" t="s">
        <v>68</v>
      </c>
      <c r="V465" t="s">
        <v>68</v>
      </c>
      <c r="W465">
        <v>129</v>
      </c>
      <c r="X465" t="s">
        <v>68</v>
      </c>
      <c r="Y465">
        <v>1.25</v>
      </c>
      <c r="Z465">
        <v>31.908000000000001</v>
      </c>
      <c r="AA465" t="s">
        <v>68</v>
      </c>
      <c r="AB465" t="s">
        <v>68</v>
      </c>
      <c r="AC465">
        <v>25.97</v>
      </c>
      <c r="AD465">
        <v>804</v>
      </c>
      <c r="AE465">
        <v>15.09559655</v>
      </c>
      <c r="AF465" t="s">
        <v>68</v>
      </c>
      <c r="AG465" t="s">
        <v>905</v>
      </c>
      <c r="AH465">
        <v>0</v>
      </c>
      <c r="AI465">
        <v>1</v>
      </c>
      <c r="AJ465">
        <v>0</v>
      </c>
      <c r="AK465">
        <v>0</v>
      </c>
      <c r="AL465" t="s">
        <v>54</v>
      </c>
      <c r="AM465" t="s">
        <v>146</v>
      </c>
      <c r="AN465">
        <v>-0.29199999999999998</v>
      </c>
      <c r="AO465" t="s">
        <v>68</v>
      </c>
      <c r="AP465">
        <v>12.94</v>
      </c>
      <c r="AQ465">
        <v>0.34</v>
      </c>
      <c r="AR465" t="s">
        <v>68</v>
      </c>
      <c r="AS465">
        <v>44.315068490000002</v>
      </c>
    </row>
    <row r="466" spans="1:45" x14ac:dyDescent="0.2">
      <c r="A466" t="s">
        <v>908</v>
      </c>
      <c r="B466" t="s">
        <v>168</v>
      </c>
      <c r="C466" t="s">
        <v>169</v>
      </c>
      <c r="D466" t="s">
        <v>904</v>
      </c>
      <c r="E466">
        <v>28.30415</v>
      </c>
      <c r="F466">
        <v>-96.802940000000007</v>
      </c>
      <c r="G466" t="s">
        <v>906</v>
      </c>
      <c r="H466" s="1">
        <v>43501</v>
      </c>
      <c r="I466">
        <v>5.6986301370000003</v>
      </c>
      <c r="J466">
        <v>10.58</v>
      </c>
      <c r="K466">
        <v>5.9269999999999996</v>
      </c>
      <c r="L466" t="s">
        <v>68</v>
      </c>
      <c r="M466">
        <f t="shared" si="7"/>
        <v>4.6530000000000005</v>
      </c>
      <c r="N466">
        <v>7.14</v>
      </c>
      <c r="O466">
        <v>33.81</v>
      </c>
      <c r="P466">
        <v>0.68</v>
      </c>
      <c r="Q466">
        <v>1.29</v>
      </c>
      <c r="R466">
        <v>0.94</v>
      </c>
      <c r="S466">
        <v>1.1100000000000001</v>
      </c>
      <c r="T466">
        <v>0.35</v>
      </c>
      <c r="U466" t="s">
        <v>68</v>
      </c>
      <c r="V466" t="s">
        <v>68</v>
      </c>
      <c r="W466">
        <v>129</v>
      </c>
      <c r="X466" t="s">
        <v>68</v>
      </c>
      <c r="Y466">
        <v>1.25</v>
      </c>
      <c r="Z466">
        <v>27.882999999999999</v>
      </c>
      <c r="AA466" t="s">
        <v>68</v>
      </c>
      <c r="AB466" t="s">
        <v>68</v>
      </c>
      <c r="AC466">
        <v>25.97</v>
      </c>
      <c r="AD466">
        <v>804</v>
      </c>
      <c r="AE466">
        <v>15.09559655</v>
      </c>
      <c r="AF466" t="s">
        <v>68</v>
      </c>
      <c r="AG466" t="s">
        <v>905</v>
      </c>
      <c r="AH466">
        <v>0</v>
      </c>
      <c r="AI466">
        <v>1</v>
      </c>
      <c r="AJ466">
        <v>0</v>
      </c>
      <c r="AK466">
        <v>0</v>
      </c>
      <c r="AL466" t="s">
        <v>54</v>
      </c>
      <c r="AM466" t="s">
        <v>146</v>
      </c>
      <c r="AN466">
        <v>-0.11</v>
      </c>
      <c r="AO466" t="s">
        <v>68</v>
      </c>
      <c r="AP466">
        <v>11.6</v>
      </c>
      <c r="AQ466">
        <v>0.34</v>
      </c>
      <c r="AR466" t="s">
        <v>68</v>
      </c>
      <c r="AS466">
        <v>105.45454549999999</v>
      </c>
    </row>
    <row r="467" spans="1:45" x14ac:dyDescent="0.2">
      <c r="A467" t="s">
        <v>909</v>
      </c>
      <c r="B467" t="s">
        <v>332</v>
      </c>
      <c r="C467" t="s">
        <v>169</v>
      </c>
      <c r="D467" t="s">
        <v>910</v>
      </c>
      <c r="E467">
        <v>41.624324440000002</v>
      </c>
      <c r="F467">
        <v>-71.322483890000001</v>
      </c>
      <c r="G467" s="1">
        <v>41192</v>
      </c>
      <c r="H467" s="1">
        <v>43169</v>
      </c>
      <c r="I467">
        <v>5.9835616439999999</v>
      </c>
      <c r="J467">
        <v>0.69</v>
      </c>
      <c r="K467">
        <v>2.0339999999999998</v>
      </c>
      <c r="L467" t="s">
        <v>68</v>
      </c>
      <c r="M467">
        <f t="shared" si="7"/>
        <v>-1.3439999999999999</v>
      </c>
      <c r="N467">
        <v>3.25</v>
      </c>
      <c r="O467">
        <v>3.52</v>
      </c>
      <c r="P467">
        <v>-1.2E-2</v>
      </c>
      <c r="Q467">
        <v>1.57</v>
      </c>
      <c r="R467">
        <v>-1.9</v>
      </c>
      <c r="S467">
        <v>-0.16</v>
      </c>
      <c r="T467">
        <v>3.47</v>
      </c>
      <c r="U467">
        <v>0.82</v>
      </c>
      <c r="V467">
        <v>0.21613832899999999</v>
      </c>
      <c r="W467">
        <v>157</v>
      </c>
      <c r="X467">
        <v>0.36730000000000002</v>
      </c>
      <c r="Y467">
        <v>0.45269999999999999</v>
      </c>
      <c r="Z467">
        <v>1.486</v>
      </c>
      <c r="AA467" t="s">
        <v>68</v>
      </c>
      <c r="AB467" t="s">
        <v>68</v>
      </c>
      <c r="AC467">
        <v>20.37</v>
      </c>
      <c r="AD467">
        <v>1192</v>
      </c>
      <c r="AE467">
        <v>0.99619219199999998</v>
      </c>
      <c r="AF467" t="s">
        <v>68</v>
      </c>
      <c r="AG467" t="s">
        <v>911</v>
      </c>
      <c r="AH467">
        <v>0</v>
      </c>
      <c r="AI467">
        <v>1</v>
      </c>
      <c r="AJ467">
        <v>0</v>
      </c>
      <c r="AK467">
        <v>0</v>
      </c>
      <c r="AL467" t="s">
        <v>54</v>
      </c>
      <c r="AM467" t="s">
        <v>335</v>
      </c>
      <c r="AN467">
        <v>7.2999999999999995E-2</v>
      </c>
      <c r="AO467" t="s">
        <v>68</v>
      </c>
      <c r="AP467">
        <v>85.3</v>
      </c>
      <c r="AQ467">
        <v>0.01</v>
      </c>
      <c r="AR467">
        <v>302</v>
      </c>
      <c r="AS467">
        <v>1000</v>
      </c>
    </row>
    <row r="468" spans="1:45" x14ac:dyDescent="0.2">
      <c r="A468" t="s">
        <v>912</v>
      </c>
      <c r="B468" t="s">
        <v>332</v>
      </c>
      <c r="C468" t="s">
        <v>169</v>
      </c>
      <c r="D468" t="s">
        <v>910</v>
      </c>
      <c r="E468">
        <v>41.624051389999998</v>
      </c>
      <c r="F468">
        <v>-71.322260830000005</v>
      </c>
      <c r="G468" s="1">
        <v>41192</v>
      </c>
      <c r="H468" s="1">
        <v>43169</v>
      </c>
      <c r="I468">
        <v>5.9835616439999999</v>
      </c>
      <c r="J468">
        <v>4.1900000000000004</v>
      </c>
      <c r="K468">
        <v>5.1280000000000001</v>
      </c>
      <c r="L468" t="s">
        <v>68</v>
      </c>
      <c r="M468">
        <f t="shared" si="7"/>
        <v>-0.93799999999999972</v>
      </c>
      <c r="N468">
        <v>3.25</v>
      </c>
      <c r="O468">
        <v>3.52</v>
      </c>
      <c r="P468">
        <v>-1.2E-2</v>
      </c>
      <c r="Q468">
        <v>1.57</v>
      </c>
      <c r="R468">
        <v>-1.9</v>
      </c>
      <c r="S468">
        <v>-0.16</v>
      </c>
      <c r="T468">
        <v>3.47</v>
      </c>
      <c r="U468">
        <v>0.83499999999999996</v>
      </c>
      <c r="V468">
        <v>0.21181556200000001</v>
      </c>
      <c r="W468">
        <v>157</v>
      </c>
      <c r="X468">
        <v>0.38229999999999997</v>
      </c>
      <c r="Y468">
        <v>0.45269999999999999</v>
      </c>
      <c r="Z468">
        <v>-1.6080000000000001</v>
      </c>
      <c r="AA468" t="s">
        <v>68</v>
      </c>
      <c r="AB468" t="s">
        <v>68</v>
      </c>
      <c r="AC468">
        <v>20.37</v>
      </c>
      <c r="AD468">
        <v>1192</v>
      </c>
      <c r="AE468">
        <v>0.99619219199999998</v>
      </c>
      <c r="AF468" t="s">
        <v>68</v>
      </c>
      <c r="AG468" t="s">
        <v>830</v>
      </c>
      <c r="AH468">
        <v>1</v>
      </c>
      <c r="AI468">
        <v>0</v>
      </c>
      <c r="AJ468">
        <v>0</v>
      </c>
      <c r="AK468">
        <v>0</v>
      </c>
      <c r="AL468" t="s">
        <v>22</v>
      </c>
      <c r="AM468" t="s">
        <v>335</v>
      </c>
      <c r="AN468">
        <v>-1.7999999999999999E-2</v>
      </c>
      <c r="AO468" t="s">
        <v>68</v>
      </c>
      <c r="AP468">
        <v>65.39</v>
      </c>
      <c r="AQ468">
        <v>0.01</v>
      </c>
      <c r="AR468">
        <v>1000</v>
      </c>
      <c r="AS468">
        <v>3632.7777780000001</v>
      </c>
    </row>
    <row r="469" spans="1:45" x14ac:dyDescent="0.2">
      <c r="A469" t="s">
        <v>913</v>
      </c>
      <c r="B469" t="s">
        <v>332</v>
      </c>
      <c r="C469" t="s">
        <v>169</v>
      </c>
      <c r="D469" t="s">
        <v>910</v>
      </c>
      <c r="E469">
        <v>41.625948059999999</v>
      </c>
      <c r="F469">
        <v>-71.324651939999995</v>
      </c>
      <c r="G469" s="1">
        <v>41192</v>
      </c>
      <c r="H469" t="s">
        <v>914</v>
      </c>
      <c r="I469">
        <v>6.0219178080000004</v>
      </c>
      <c r="J469">
        <v>2.36</v>
      </c>
      <c r="K469">
        <v>2.1070000000000002</v>
      </c>
      <c r="L469" t="s">
        <v>68</v>
      </c>
      <c r="M469">
        <f t="shared" si="7"/>
        <v>0.25299999999999967</v>
      </c>
      <c r="N469">
        <v>3.25</v>
      </c>
      <c r="O469">
        <v>3.52</v>
      </c>
      <c r="P469">
        <v>-1.2E-2</v>
      </c>
      <c r="Q469">
        <v>1.57</v>
      </c>
      <c r="R469">
        <v>-1.9</v>
      </c>
      <c r="S469">
        <v>-0.16</v>
      </c>
      <c r="T469">
        <v>3.47</v>
      </c>
      <c r="U469">
        <v>0.72</v>
      </c>
      <c r="V469">
        <v>0.24495677199999999</v>
      </c>
      <c r="W469">
        <v>157</v>
      </c>
      <c r="X469">
        <v>0.26729999999999998</v>
      </c>
      <c r="Y469">
        <v>0.45269999999999999</v>
      </c>
      <c r="Z469">
        <v>1.413</v>
      </c>
      <c r="AA469" t="s">
        <v>68</v>
      </c>
      <c r="AB469" t="s">
        <v>68</v>
      </c>
      <c r="AC469">
        <v>20.37</v>
      </c>
      <c r="AD469">
        <v>1192</v>
      </c>
      <c r="AE469">
        <v>0.99619219199999998</v>
      </c>
      <c r="AF469" t="s">
        <v>68</v>
      </c>
      <c r="AG469" t="s">
        <v>830</v>
      </c>
      <c r="AH469">
        <v>1</v>
      </c>
      <c r="AI469">
        <v>0</v>
      </c>
      <c r="AJ469">
        <v>0</v>
      </c>
      <c r="AK469">
        <v>0</v>
      </c>
      <c r="AL469" t="s">
        <v>22</v>
      </c>
      <c r="AM469" t="s">
        <v>335</v>
      </c>
      <c r="AN469">
        <v>-0.14599999999999999</v>
      </c>
      <c r="AO469" t="s">
        <v>68</v>
      </c>
      <c r="AP469">
        <v>6.45</v>
      </c>
      <c r="AQ469">
        <v>0.04</v>
      </c>
      <c r="AR469">
        <v>234</v>
      </c>
      <c r="AS469">
        <v>44.178082189999998</v>
      </c>
    </row>
    <row r="470" spans="1:45" x14ac:dyDescent="0.2">
      <c r="A470" t="s">
        <v>915</v>
      </c>
      <c r="B470" t="s">
        <v>332</v>
      </c>
      <c r="C470" t="s">
        <v>169</v>
      </c>
      <c r="D470" t="s">
        <v>910</v>
      </c>
      <c r="E470">
        <v>41.62646556</v>
      </c>
      <c r="F470">
        <v>-71.324523330000005</v>
      </c>
      <c r="G470" s="1">
        <v>41192</v>
      </c>
      <c r="H470" t="s">
        <v>914</v>
      </c>
      <c r="I470">
        <v>6.0219178080000004</v>
      </c>
      <c r="J470">
        <v>2.64</v>
      </c>
      <c r="K470">
        <v>2.044</v>
      </c>
      <c r="L470" t="s">
        <v>68</v>
      </c>
      <c r="M470">
        <f t="shared" si="7"/>
        <v>0.59600000000000009</v>
      </c>
      <c r="N470">
        <v>3.25</v>
      </c>
      <c r="O470">
        <v>3.52</v>
      </c>
      <c r="P470">
        <v>-1.2E-2</v>
      </c>
      <c r="Q470">
        <v>1.57</v>
      </c>
      <c r="R470">
        <v>-1.9</v>
      </c>
      <c r="S470">
        <v>-0.16</v>
      </c>
      <c r="T470">
        <v>3.47</v>
      </c>
      <c r="U470">
        <v>0.89500000000000002</v>
      </c>
      <c r="V470">
        <v>0.19452449599999999</v>
      </c>
      <c r="W470">
        <v>157</v>
      </c>
      <c r="X470">
        <v>0.44230000000000003</v>
      </c>
      <c r="Y470">
        <v>0.45269999999999999</v>
      </c>
      <c r="Z470">
        <v>1.476</v>
      </c>
      <c r="AA470" t="s">
        <v>68</v>
      </c>
      <c r="AB470" t="s">
        <v>68</v>
      </c>
      <c r="AC470">
        <v>20.37</v>
      </c>
      <c r="AD470">
        <v>1192</v>
      </c>
      <c r="AE470">
        <v>0.99619219199999998</v>
      </c>
      <c r="AF470" t="s">
        <v>68</v>
      </c>
      <c r="AG470" t="s">
        <v>911</v>
      </c>
      <c r="AH470">
        <v>0</v>
      </c>
      <c r="AI470">
        <v>1</v>
      </c>
      <c r="AJ470">
        <v>0</v>
      </c>
      <c r="AK470">
        <v>0</v>
      </c>
      <c r="AL470" t="s">
        <v>54</v>
      </c>
      <c r="AM470" t="s">
        <v>335</v>
      </c>
      <c r="AN470">
        <v>-0.14599999999999999</v>
      </c>
      <c r="AO470" t="s">
        <v>68</v>
      </c>
      <c r="AP470">
        <v>141.38</v>
      </c>
      <c r="AQ470">
        <v>0.01</v>
      </c>
      <c r="AR470">
        <v>367</v>
      </c>
      <c r="AS470">
        <v>968.35616440000001</v>
      </c>
    </row>
    <row r="471" spans="1:45" x14ac:dyDescent="0.2">
      <c r="A471" t="s">
        <v>916</v>
      </c>
      <c r="B471" t="s">
        <v>332</v>
      </c>
      <c r="C471" t="s">
        <v>169</v>
      </c>
      <c r="D471" t="s">
        <v>910</v>
      </c>
      <c r="E471">
        <v>41.626316670000001</v>
      </c>
      <c r="F471">
        <v>-71.326227779999996</v>
      </c>
      <c r="G471" s="1">
        <v>41192</v>
      </c>
      <c r="H471" t="s">
        <v>914</v>
      </c>
      <c r="I471">
        <v>6.0219178080000004</v>
      </c>
      <c r="J471">
        <v>2.06</v>
      </c>
      <c r="K471">
        <v>1.381</v>
      </c>
      <c r="L471" t="s">
        <v>68</v>
      </c>
      <c r="M471">
        <f t="shared" si="7"/>
        <v>0.67900000000000005</v>
      </c>
      <c r="N471">
        <v>3.25</v>
      </c>
      <c r="O471">
        <v>3.52</v>
      </c>
      <c r="P471">
        <v>-1.2E-2</v>
      </c>
      <c r="Q471">
        <v>1.57</v>
      </c>
      <c r="R471">
        <v>-1.9</v>
      </c>
      <c r="S471">
        <v>-0.16</v>
      </c>
      <c r="T471">
        <v>3.47</v>
      </c>
      <c r="U471">
        <v>0.81</v>
      </c>
      <c r="V471">
        <v>0.21902017300000001</v>
      </c>
      <c r="W471">
        <v>157</v>
      </c>
      <c r="X471">
        <v>0.35730000000000001</v>
      </c>
      <c r="Y471">
        <v>0.45269999999999999</v>
      </c>
      <c r="Z471">
        <v>2.1389999999999998</v>
      </c>
      <c r="AA471" t="s">
        <v>68</v>
      </c>
      <c r="AB471" t="s">
        <v>68</v>
      </c>
      <c r="AC471">
        <v>20.37</v>
      </c>
      <c r="AD471">
        <v>1192</v>
      </c>
      <c r="AE471">
        <v>0.99619219199999998</v>
      </c>
      <c r="AF471" t="s">
        <v>68</v>
      </c>
      <c r="AG471" t="s">
        <v>911</v>
      </c>
      <c r="AH471">
        <v>0</v>
      </c>
      <c r="AI471">
        <v>1</v>
      </c>
      <c r="AJ471">
        <v>0</v>
      </c>
      <c r="AK471">
        <v>0</v>
      </c>
      <c r="AL471" t="s">
        <v>54</v>
      </c>
      <c r="AM471" t="s">
        <v>335</v>
      </c>
      <c r="AN471">
        <v>-0.1825</v>
      </c>
      <c r="AO471" t="s">
        <v>68</v>
      </c>
      <c r="AP471">
        <v>20.83</v>
      </c>
      <c r="AQ471">
        <v>0.2</v>
      </c>
      <c r="AR471">
        <v>191</v>
      </c>
      <c r="AS471">
        <v>114.1369863</v>
      </c>
    </row>
    <row r="472" spans="1:45" x14ac:dyDescent="0.2">
      <c r="A472" t="s">
        <v>917</v>
      </c>
      <c r="B472" t="s">
        <v>332</v>
      </c>
      <c r="C472" t="s">
        <v>169</v>
      </c>
      <c r="D472" t="s">
        <v>910</v>
      </c>
      <c r="E472">
        <v>41.626623889999998</v>
      </c>
      <c r="F472">
        <v>-71.326116670000005</v>
      </c>
      <c r="G472" s="1">
        <v>41192</v>
      </c>
      <c r="H472" t="s">
        <v>914</v>
      </c>
      <c r="I472">
        <v>6.0219178080000004</v>
      </c>
      <c r="J472">
        <v>2.08</v>
      </c>
      <c r="K472">
        <v>0.313</v>
      </c>
      <c r="L472" t="s">
        <v>68</v>
      </c>
      <c r="M472">
        <f t="shared" si="7"/>
        <v>1.7670000000000001</v>
      </c>
      <c r="N472">
        <v>3.25</v>
      </c>
      <c r="O472">
        <v>3.52</v>
      </c>
      <c r="P472">
        <v>-1.2E-2</v>
      </c>
      <c r="Q472">
        <v>1.57</v>
      </c>
      <c r="R472">
        <v>-1.9</v>
      </c>
      <c r="S472">
        <v>-0.16</v>
      </c>
      <c r="T472">
        <v>3.47</v>
      </c>
      <c r="U472">
        <v>0.72399999999999998</v>
      </c>
      <c r="V472">
        <v>0.243804035</v>
      </c>
      <c r="W472">
        <v>157</v>
      </c>
      <c r="X472">
        <v>0.27129999999999999</v>
      </c>
      <c r="Y472">
        <v>0.45269999999999999</v>
      </c>
      <c r="Z472">
        <v>3.2069999999999999</v>
      </c>
      <c r="AA472" t="s">
        <v>68</v>
      </c>
      <c r="AB472" t="s">
        <v>68</v>
      </c>
      <c r="AC472">
        <v>20.37</v>
      </c>
      <c r="AD472">
        <v>1192</v>
      </c>
      <c r="AE472">
        <v>0.99619219199999998</v>
      </c>
      <c r="AF472" t="s">
        <v>68</v>
      </c>
      <c r="AG472" t="s">
        <v>830</v>
      </c>
      <c r="AH472">
        <v>1</v>
      </c>
      <c r="AI472">
        <v>0</v>
      </c>
      <c r="AJ472">
        <v>0</v>
      </c>
      <c r="AK472">
        <v>0</v>
      </c>
      <c r="AL472" t="s">
        <v>22</v>
      </c>
      <c r="AM472" t="s">
        <v>335</v>
      </c>
      <c r="AN472">
        <v>-0.1825</v>
      </c>
      <c r="AO472" t="s">
        <v>68</v>
      </c>
      <c r="AP472">
        <v>15.81</v>
      </c>
      <c r="AQ472">
        <v>0.1</v>
      </c>
      <c r="AR472">
        <v>92</v>
      </c>
      <c r="AS472">
        <v>86.630136989999997</v>
      </c>
    </row>
    <row r="473" spans="1:45" x14ac:dyDescent="0.2">
      <c r="A473" t="s">
        <v>918</v>
      </c>
      <c r="B473" t="s">
        <v>332</v>
      </c>
      <c r="C473" t="s">
        <v>169</v>
      </c>
      <c r="D473" t="s">
        <v>910</v>
      </c>
      <c r="E473">
        <v>41.650211669999997</v>
      </c>
      <c r="F473">
        <v>-71.342881669999997</v>
      </c>
      <c r="G473" s="1">
        <v>41223</v>
      </c>
      <c r="H473" t="s">
        <v>919</v>
      </c>
      <c r="I473">
        <v>5.9671232879999998</v>
      </c>
      <c r="J473">
        <v>2.06</v>
      </c>
      <c r="K473">
        <v>0.96199999999999997</v>
      </c>
      <c r="L473" t="s">
        <v>68</v>
      </c>
      <c r="M473">
        <f t="shared" si="7"/>
        <v>1.0980000000000001</v>
      </c>
      <c r="N473">
        <v>3.25</v>
      </c>
      <c r="O473">
        <v>3.52</v>
      </c>
      <c r="P473">
        <v>-1.2E-2</v>
      </c>
      <c r="Q473">
        <v>1.57</v>
      </c>
      <c r="R473">
        <v>-1.9</v>
      </c>
      <c r="S473">
        <v>-0.16</v>
      </c>
      <c r="T473">
        <v>3.47</v>
      </c>
      <c r="U473">
        <v>0.78</v>
      </c>
      <c r="V473">
        <v>0.227665706</v>
      </c>
      <c r="W473">
        <v>157</v>
      </c>
      <c r="X473">
        <v>0.32729999999999998</v>
      </c>
      <c r="Y473">
        <v>0.45269999999999999</v>
      </c>
      <c r="Z473">
        <v>2.5579999999999998</v>
      </c>
      <c r="AA473" t="s">
        <v>68</v>
      </c>
      <c r="AB473" t="s">
        <v>68</v>
      </c>
      <c r="AC473">
        <v>20.37</v>
      </c>
      <c r="AD473">
        <v>1192</v>
      </c>
      <c r="AE473">
        <v>0.99619219199999998</v>
      </c>
      <c r="AF473" t="s">
        <v>68</v>
      </c>
      <c r="AG473" t="s">
        <v>830</v>
      </c>
      <c r="AH473">
        <v>1</v>
      </c>
      <c r="AI473">
        <v>0</v>
      </c>
      <c r="AJ473">
        <v>0</v>
      </c>
      <c r="AK473">
        <v>0</v>
      </c>
      <c r="AL473" t="s">
        <v>22</v>
      </c>
      <c r="AM473" t="s">
        <v>335</v>
      </c>
      <c r="AN473">
        <v>-0.29199999999999998</v>
      </c>
      <c r="AO473" t="s">
        <v>68</v>
      </c>
      <c r="AP473">
        <v>44.76</v>
      </c>
      <c r="AQ473">
        <v>0.17</v>
      </c>
      <c r="AR473">
        <v>143</v>
      </c>
      <c r="AS473">
        <v>153.28767120000001</v>
      </c>
    </row>
    <row r="474" spans="1:45" x14ac:dyDescent="0.2">
      <c r="A474" t="s">
        <v>920</v>
      </c>
      <c r="B474" t="s">
        <v>332</v>
      </c>
      <c r="C474" t="s">
        <v>169</v>
      </c>
      <c r="D474" t="s">
        <v>910</v>
      </c>
      <c r="E474">
        <v>41.649684720000003</v>
      </c>
      <c r="F474">
        <v>-71.34257556</v>
      </c>
      <c r="G474" s="1">
        <v>41223</v>
      </c>
      <c r="H474" t="s">
        <v>919</v>
      </c>
      <c r="I474">
        <v>5.9671232879999998</v>
      </c>
      <c r="J474">
        <v>2.44</v>
      </c>
      <c r="K474">
        <v>0.22800000000000001</v>
      </c>
      <c r="L474" t="s">
        <v>68</v>
      </c>
      <c r="M474">
        <f t="shared" si="7"/>
        <v>2.2119999999999997</v>
      </c>
      <c r="N474">
        <v>3.25</v>
      </c>
      <c r="O474">
        <v>3.52</v>
      </c>
      <c r="P474">
        <v>-1.2E-2</v>
      </c>
      <c r="Q474">
        <v>1.57</v>
      </c>
      <c r="R474">
        <v>-1.9</v>
      </c>
      <c r="S474">
        <v>-0.16</v>
      </c>
      <c r="T474">
        <v>3.47</v>
      </c>
      <c r="U474">
        <v>0.79700000000000004</v>
      </c>
      <c r="V474">
        <v>0.222766571</v>
      </c>
      <c r="W474">
        <v>157</v>
      </c>
      <c r="X474">
        <v>0.34429999999999999</v>
      </c>
      <c r="Y474">
        <v>0.45269999999999999</v>
      </c>
      <c r="Z474">
        <v>3.2919999999999998</v>
      </c>
      <c r="AA474" t="s">
        <v>68</v>
      </c>
      <c r="AB474" t="s">
        <v>68</v>
      </c>
      <c r="AC474">
        <v>20.37</v>
      </c>
      <c r="AD474">
        <v>1192</v>
      </c>
      <c r="AE474">
        <v>0.99619219199999998</v>
      </c>
      <c r="AF474" t="s">
        <v>68</v>
      </c>
      <c r="AG474" t="s">
        <v>911</v>
      </c>
      <c r="AH474">
        <v>0</v>
      </c>
      <c r="AI474">
        <v>1</v>
      </c>
      <c r="AJ474">
        <v>0</v>
      </c>
      <c r="AK474">
        <v>0</v>
      </c>
      <c r="AL474" t="s">
        <v>54</v>
      </c>
      <c r="AM474" t="s">
        <v>335</v>
      </c>
      <c r="AN474">
        <v>-0.29199999999999998</v>
      </c>
      <c r="AO474" t="s">
        <v>68</v>
      </c>
      <c r="AP474">
        <v>167.21</v>
      </c>
      <c r="AQ474">
        <v>0.02</v>
      </c>
      <c r="AR474">
        <v>114</v>
      </c>
      <c r="AS474">
        <v>572.63698629999999</v>
      </c>
    </row>
    <row r="475" spans="1:45" x14ac:dyDescent="0.2">
      <c r="A475" t="s">
        <v>921</v>
      </c>
      <c r="B475" t="s">
        <v>332</v>
      </c>
      <c r="C475" t="s">
        <v>169</v>
      </c>
      <c r="D475" t="s">
        <v>910</v>
      </c>
      <c r="E475">
        <v>41.650802499999998</v>
      </c>
      <c r="F475">
        <v>-71.340843609999993</v>
      </c>
      <c r="G475" s="1">
        <v>41223</v>
      </c>
      <c r="H475" t="s">
        <v>922</v>
      </c>
      <c r="I475">
        <v>5.9726027400000001</v>
      </c>
      <c r="J475">
        <v>2.39</v>
      </c>
      <c r="K475">
        <v>1.5</v>
      </c>
      <c r="L475" t="s">
        <v>68</v>
      </c>
      <c r="M475">
        <f t="shared" si="7"/>
        <v>0.89000000000000012</v>
      </c>
      <c r="N475">
        <v>3.25</v>
      </c>
      <c r="O475">
        <v>3.52</v>
      </c>
      <c r="P475">
        <v>-1.2E-2</v>
      </c>
      <c r="Q475">
        <v>1.57</v>
      </c>
      <c r="R475">
        <v>-1.9</v>
      </c>
      <c r="S475">
        <v>-0.16</v>
      </c>
      <c r="T475">
        <v>3.47</v>
      </c>
      <c r="U475">
        <v>0.76600000000000001</v>
      </c>
      <c r="V475">
        <v>0.231700288</v>
      </c>
      <c r="W475">
        <v>157</v>
      </c>
      <c r="X475">
        <v>0.31330000000000002</v>
      </c>
      <c r="Y475">
        <v>0.45269999999999999</v>
      </c>
      <c r="Z475">
        <v>2.02</v>
      </c>
      <c r="AA475" t="s">
        <v>68</v>
      </c>
      <c r="AB475" t="s">
        <v>68</v>
      </c>
      <c r="AC475">
        <v>20.37</v>
      </c>
      <c r="AD475">
        <v>1192</v>
      </c>
      <c r="AE475">
        <v>0.99619219199999998</v>
      </c>
      <c r="AF475" t="s">
        <v>68</v>
      </c>
      <c r="AG475" t="s">
        <v>830</v>
      </c>
      <c r="AH475">
        <v>1</v>
      </c>
      <c r="AI475">
        <v>0</v>
      </c>
      <c r="AJ475">
        <v>0</v>
      </c>
      <c r="AK475">
        <v>0</v>
      </c>
      <c r="AL475" t="s">
        <v>22</v>
      </c>
      <c r="AM475" t="s">
        <v>335</v>
      </c>
      <c r="AN475">
        <v>-0.29199999999999998</v>
      </c>
      <c r="AO475" t="s">
        <v>68</v>
      </c>
      <c r="AP475">
        <v>224.03</v>
      </c>
      <c r="AQ475">
        <v>0.02</v>
      </c>
      <c r="AR475">
        <v>179</v>
      </c>
      <c r="AS475">
        <v>767.22602740000002</v>
      </c>
    </row>
    <row r="476" spans="1:45" x14ac:dyDescent="0.2">
      <c r="A476" t="s">
        <v>923</v>
      </c>
      <c r="B476" t="s">
        <v>332</v>
      </c>
      <c r="C476" t="s">
        <v>169</v>
      </c>
      <c r="D476" t="s">
        <v>910</v>
      </c>
      <c r="E476">
        <v>41.65067861</v>
      </c>
      <c r="F476">
        <v>-71.340061669999997</v>
      </c>
      <c r="G476" s="1">
        <v>41223</v>
      </c>
      <c r="H476" t="s">
        <v>922</v>
      </c>
      <c r="I476">
        <v>5.9726027400000001</v>
      </c>
      <c r="J476">
        <v>2.64</v>
      </c>
      <c r="K476">
        <v>2.2679999999999998</v>
      </c>
      <c r="L476" t="s">
        <v>68</v>
      </c>
      <c r="M476">
        <f t="shared" si="7"/>
        <v>0.37200000000000033</v>
      </c>
      <c r="N476">
        <v>3.25</v>
      </c>
      <c r="O476">
        <v>3.52</v>
      </c>
      <c r="P476">
        <v>-1.2E-2</v>
      </c>
      <c r="Q476">
        <v>1.57</v>
      </c>
      <c r="R476">
        <v>-1.9</v>
      </c>
      <c r="S476">
        <v>-0.16</v>
      </c>
      <c r="T476">
        <v>3.47</v>
      </c>
      <c r="U476">
        <v>0.88100000000000001</v>
      </c>
      <c r="V476">
        <v>0.198559078</v>
      </c>
      <c r="W476">
        <v>157</v>
      </c>
      <c r="X476">
        <v>0.42830000000000001</v>
      </c>
      <c r="Y476">
        <v>0.45269999999999999</v>
      </c>
      <c r="Z476">
        <v>1.252</v>
      </c>
      <c r="AA476" t="s">
        <v>68</v>
      </c>
      <c r="AB476" t="s">
        <v>68</v>
      </c>
      <c r="AC476">
        <v>20.37</v>
      </c>
      <c r="AD476">
        <v>1192</v>
      </c>
      <c r="AE476">
        <v>0.99619219199999998</v>
      </c>
      <c r="AF476" t="s">
        <v>68</v>
      </c>
      <c r="AG476" t="s">
        <v>911</v>
      </c>
      <c r="AH476">
        <v>0</v>
      </c>
      <c r="AI476">
        <v>1</v>
      </c>
      <c r="AJ476">
        <v>0</v>
      </c>
      <c r="AK476">
        <v>0</v>
      </c>
      <c r="AL476" t="s">
        <v>54</v>
      </c>
      <c r="AM476" t="s">
        <v>335</v>
      </c>
      <c r="AN476">
        <v>-0.29199999999999998</v>
      </c>
      <c r="AO476" t="s">
        <v>68</v>
      </c>
      <c r="AP476">
        <v>285.10000000000002</v>
      </c>
      <c r="AQ476">
        <v>0.01</v>
      </c>
      <c r="AR476">
        <v>436</v>
      </c>
      <c r="AS476">
        <v>976.36986300000001</v>
      </c>
    </row>
    <row r="477" spans="1:45" x14ac:dyDescent="0.2">
      <c r="A477" t="s">
        <v>924</v>
      </c>
      <c r="B477" t="s">
        <v>332</v>
      </c>
      <c r="C477" t="s">
        <v>169</v>
      </c>
      <c r="D477" t="s">
        <v>910</v>
      </c>
      <c r="E477">
        <v>41.653104999999996</v>
      </c>
      <c r="F477">
        <v>-71.342866389999998</v>
      </c>
      <c r="G477" s="1">
        <v>41223</v>
      </c>
      <c r="H477" t="s">
        <v>919</v>
      </c>
      <c r="I477">
        <v>5.9671232879999998</v>
      </c>
      <c r="J477">
        <v>2.38</v>
      </c>
      <c r="K477">
        <v>2.4550000000000001</v>
      </c>
      <c r="L477" t="s">
        <v>68</v>
      </c>
      <c r="M477">
        <f t="shared" si="7"/>
        <v>-7.5000000000000178E-2</v>
      </c>
      <c r="N477">
        <v>3.25</v>
      </c>
      <c r="O477">
        <v>3.52</v>
      </c>
      <c r="P477">
        <v>-1.2E-2</v>
      </c>
      <c r="Q477">
        <v>1.57</v>
      </c>
      <c r="R477">
        <v>-1.9</v>
      </c>
      <c r="S477">
        <v>-0.16</v>
      </c>
      <c r="T477">
        <v>3.47</v>
      </c>
      <c r="U477">
        <v>0.65</v>
      </c>
      <c r="V477">
        <v>0.265129683</v>
      </c>
      <c r="W477">
        <v>157</v>
      </c>
      <c r="X477">
        <v>0.1973</v>
      </c>
      <c r="Y477">
        <v>0.45269999999999999</v>
      </c>
      <c r="Z477">
        <v>1.0649999999999999</v>
      </c>
      <c r="AA477" t="s">
        <v>68</v>
      </c>
      <c r="AB477" t="s">
        <v>68</v>
      </c>
      <c r="AC477">
        <v>20.37</v>
      </c>
      <c r="AD477">
        <v>1192</v>
      </c>
      <c r="AE477">
        <v>0.99619219199999998</v>
      </c>
      <c r="AF477" t="s">
        <v>68</v>
      </c>
      <c r="AG477" t="s">
        <v>830</v>
      </c>
      <c r="AH477">
        <v>1</v>
      </c>
      <c r="AI477">
        <v>0</v>
      </c>
      <c r="AJ477">
        <v>0</v>
      </c>
      <c r="AK477">
        <v>0</v>
      </c>
      <c r="AL477" t="s">
        <v>22</v>
      </c>
      <c r="AM477" t="s">
        <v>335</v>
      </c>
      <c r="AN477">
        <v>-0.11</v>
      </c>
      <c r="AO477" t="s">
        <v>68</v>
      </c>
      <c r="AP477">
        <v>52.88</v>
      </c>
      <c r="AQ477">
        <v>0.12</v>
      </c>
      <c r="AR477">
        <v>248</v>
      </c>
      <c r="AS477">
        <v>480.72727270000001</v>
      </c>
    </row>
    <row r="478" spans="1:45" x14ac:dyDescent="0.2">
      <c r="A478" t="s">
        <v>925</v>
      </c>
      <c r="B478" t="s">
        <v>332</v>
      </c>
      <c r="C478" t="s">
        <v>169</v>
      </c>
      <c r="D478" t="s">
        <v>910</v>
      </c>
      <c r="E478">
        <v>41.652838060000001</v>
      </c>
      <c r="F478">
        <v>-71.343000000000004</v>
      </c>
      <c r="G478" s="1">
        <v>41223</v>
      </c>
      <c r="H478" t="s">
        <v>919</v>
      </c>
      <c r="I478">
        <v>5.9671232879999998</v>
      </c>
      <c r="J478">
        <v>1.28</v>
      </c>
      <c r="K478">
        <v>1.4670000000000001</v>
      </c>
      <c r="L478" t="s">
        <v>68</v>
      </c>
      <c r="M478">
        <f t="shared" si="7"/>
        <v>-0.18700000000000006</v>
      </c>
      <c r="N478">
        <v>3.25</v>
      </c>
      <c r="O478">
        <v>3.52</v>
      </c>
      <c r="P478">
        <v>-1.2E-2</v>
      </c>
      <c r="Q478">
        <v>1.57</v>
      </c>
      <c r="R478">
        <v>-1.9</v>
      </c>
      <c r="S478">
        <v>-0.16</v>
      </c>
      <c r="T478">
        <v>3.47</v>
      </c>
      <c r="U478">
        <v>0.86</v>
      </c>
      <c r="V478">
        <v>0.20461095100000001</v>
      </c>
      <c r="W478">
        <v>157</v>
      </c>
      <c r="X478">
        <v>0.4073</v>
      </c>
      <c r="Y478">
        <v>0.45269999999999999</v>
      </c>
      <c r="Z478">
        <v>2.0529999999999999</v>
      </c>
      <c r="AA478" t="s">
        <v>68</v>
      </c>
      <c r="AB478" t="s">
        <v>68</v>
      </c>
      <c r="AC478">
        <v>20.37</v>
      </c>
      <c r="AD478">
        <v>1192</v>
      </c>
      <c r="AE478">
        <v>0.99619219199999998</v>
      </c>
      <c r="AF478" t="s">
        <v>68</v>
      </c>
      <c r="AG478" t="s">
        <v>911</v>
      </c>
      <c r="AH478">
        <v>0</v>
      </c>
      <c r="AI478">
        <v>1</v>
      </c>
      <c r="AJ478">
        <v>0</v>
      </c>
      <c r="AK478">
        <v>0</v>
      </c>
      <c r="AL478" t="s">
        <v>54</v>
      </c>
      <c r="AM478" t="s">
        <v>335</v>
      </c>
      <c r="AN478">
        <v>-0.11</v>
      </c>
      <c r="AO478" t="s">
        <v>68</v>
      </c>
      <c r="AP478">
        <v>70.67</v>
      </c>
      <c r="AQ478">
        <v>0.02</v>
      </c>
      <c r="AR478">
        <v>228</v>
      </c>
      <c r="AS478">
        <v>642.45454549999999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masterFinalJan2022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2022-04-19T05:05:29Z</dcterms:created>
  <dcterms:modified xsi:type="dcterms:W3CDTF">2022-05-03T20:43:27Z</dcterms:modified>
</cp:coreProperties>
</file>